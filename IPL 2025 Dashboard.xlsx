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LL\Desktop\Course\"/>
    </mc:Choice>
  </mc:AlternateContent>
  <xr:revisionPtr revIDLastSave="0" documentId="8_{90050A50-EF9D-4F41-A3F6-5B08B470076C}" xr6:coauthVersionLast="47" xr6:coauthVersionMax="47" xr10:uidLastSave="{00000000-0000-0000-0000-000000000000}"/>
  <bookViews>
    <workbookView xWindow="-108" yWindow="-108" windowWidth="23256" windowHeight="13176" tabRatio="845" xr2:uid="{5691FCC7-8420-4AE2-98C6-74B29C38B48C}"/>
  </bookViews>
  <sheets>
    <sheet name="fact_player" sheetId="6" r:id="rId1"/>
    <sheet name="Team Summary" sheetId="11" r:id="rId2"/>
    <sheet name="Team Performance Dashboard" sheetId="13" r:id="rId3"/>
    <sheet name="Player Performance Dashboard" sheetId="14" r:id="rId4"/>
    <sheet name="Player Summary" sheetId="12" r:id="rId5"/>
    <sheet name="fact_match" sheetId="5" r:id="rId6"/>
    <sheet name="dim_venue" sheetId="4" r:id="rId7"/>
    <sheet name="dim_team" sheetId="3" r:id="rId8"/>
    <sheet name="dim_player" sheetId="2" r:id="rId9"/>
  </sheets>
  <definedNames>
    <definedName name="_xlcn.WorksheetConnection_Book7dim_player1" hidden="1">dim_player[]</definedName>
    <definedName name="_xlcn.WorksheetConnection_Book7dim_team1" hidden="1">dim_team[]</definedName>
    <definedName name="_xlcn.WorksheetConnection_Book7dim_venue1" hidden="1">dim_venue[]</definedName>
    <definedName name="_xlcn.WorksheetConnection_Book7fact_match1" hidden="1">fact_match[]</definedName>
    <definedName name="_xlcn.WorksheetConnection_Book7fact_player1" hidden="1">fact_player[]</definedName>
    <definedName name="ExternalData_1" localSheetId="8" hidden="1">dim_player!$A$1:$H$34</definedName>
    <definedName name="ExternalData_2" localSheetId="7" hidden="1">dim_team!$A$1:$G$9</definedName>
    <definedName name="ExternalData_3" localSheetId="6" hidden="1">dim_venue!$A$1:$D$11</definedName>
    <definedName name="ExternalData_4" localSheetId="5" hidden="1">fact_match!$A$1:$N$61</definedName>
    <definedName name="ExternalData_5" localSheetId="0" hidden="1">fact_player!$A$1:$K$141</definedName>
    <definedName name="Slicer_Team_Name">#N/A</definedName>
  </definedNames>
  <calcPr calcId="191029"/>
  <pivotCaches>
    <pivotCache cacheId="2" r:id="rId10"/>
    <pivotCache cacheId="4" r:id="rId11"/>
    <pivotCache cacheId="6" r:id="rId12"/>
    <pivotCache cacheId="16" r:id="rId13"/>
    <pivotCache cacheId="19" r:id="rId14"/>
    <pivotCache cacheId="22" r:id="rId15"/>
    <pivotCache cacheId="25" r:id="rId16"/>
    <pivotCache cacheId="28" r:id="rId17"/>
    <pivotCache cacheId="31" r:id="rId18"/>
    <pivotCache cacheId="34" r:id="rId19"/>
    <pivotCache cacheId="37" r:id="rId20"/>
  </pivotCaches>
  <extLst>
    <ext xmlns:x14="http://schemas.microsoft.com/office/spreadsheetml/2009/9/main" uri="{876F7934-8845-4945-9796-88D515C7AA90}">
      <x14:pivotCaches>
        <pivotCache cacheId="13"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Book7!fact_player"/>
          <x15:modelTable id="fact_match" name="fact_match" connection="WorksheetConnection_Book7!fact_match"/>
          <x15:modelTable id="dim_venue" name="dim_venue" connection="WorksheetConnection_Book7!dim_venue"/>
          <x15:modelTable id="dim_team" name="dim_team" connection="WorksheetConnection_Book7!dim_team"/>
          <x15:modelTable id="dim_player" name="dim_player" connection="WorksheetConnection_Book7!dim_player"/>
        </x15:modelTables>
        <x15:modelRelationships>
          <x15:modelRelationship fromTable="fact_player" fromColumn="Player_ID" toTable="dim_player" toColumn="Player_ID"/>
          <x15:modelRelationship fromTable="fact_match" fromColumn="Team1_ID" toTable="dim_team" toColumn="Team_ID"/>
          <x15:modelRelationship fromTable="fact_match" fromColumn="Venue_ID" toTable="dim_venue" toColumn="Venue_ID"/>
          <x15:modelRelationship fromTable="fact_match" fromColumn="Match_ID" toTable="fact_player" toColumn="Match_ID"/>
        </x15:modelRelationships>
      </x15:dataModel>
    </ext>
  </extLst>
</workbook>
</file>

<file path=xl/calcChain.xml><?xml version="1.0" encoding="utf-8"?>
<calcChain xmlns="http://schemas.openxmlformats.org/spreadsheetml/2006/main">
  <c r="O30" i="13" l="1"/>
  <c r="O23" i="13"/>
  <c r="O9"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007E01-9BD8-41A3-B48C-F40C6998825A}"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C22656AC-8249-404F-9372-C971E03441B7}"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80F724C7-328B-4284-BDBB-12A4A9D117E9}"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4" xr16:uid="{B6227A69-E73A-407F-BE1F-D32424DDDC2A}"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7D7CC168-E7FF-4534-A95C-1C3CF213D1B2}"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F9D9D9F7-B9E0-4537-98B1-5C18820075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BE3DACD3-20F8-4A40-A952-C4EBB2BCA1EF}" name="WorksheetConnection_Book7!dim_player" type="102" refreshedVersion="8" minRefreshableVersion="5">
    <extLst>
      <ext xmlns:x15="http://schemas.microsoft.com/office/spreadsheetml/2010/11/main" uri="{DE250136-89BD-433C-8126-D09CA5730AF9}">
        <x15:connection id="dim_player">
          <x15:rangePr sourceName="_xlcn.WorksheetConnection_Book7dim_player1"/>
        </x15:connection>
      </ext>
    </extLst>
  </connection>
  <connection id="8" xr16:uid="{E281E651-01D8-4341-B018-0EF658702ADA}" name="WorksheetConnection_Book7!dim_team" type="102" refreshedVersion="8" minRefreshableVersion="5">
    <extLst>
      <ext xmlns:x15="http://schemas.microsoft.com/office/spreadsheetml/2010/11/main" uri="{DE250136-89BD-433C-8126-D09CA5730AF9}">
        <x15:connection id="dim_team">
          <x15:rangePr sourceName="_xlcn.WorksheetConnection_Book7dim_team1"/>
        </x15:connection>
      </ext>
    </extLst>
  </connection>
  <connection id="9" xr16:uid="{2C341849-FEC2-45B5-9E66-DEC0301AA6E1}" name="WorksheetConnection_Book7!dim_venue" type="102" refreshedVersion="8" minRefreshableVersion="5">
    <extLst>
      <ext xmlns:x15="http://schemas.microsoft.com/office/spreadsheetml/2010/11/main" uri="{DE250136-89BD-433C-8126-D09CA5730AF9}">
        <x15:connection id="dim_venue">
          <x15:rangePr sourceName="_xlcn.WorksheetConnection_Book7dim_venue1"/>
        </x15:connection>
      </ext>
    </extLst>
  </connection>
  <connection id="10" xr16:uid="{BD08BE7A-4C1D-40B2-9274-64ED74E32A1E}" name="WorksheetConnection_Book7!fact_match" type="102" refreshedVersion="8" minRefreshableVersion="5">
    <extLst>
      <ext xmlns:x15="http://schemas.microsoft.com/office/spreadsheetml/2010/11/main" uri="{DE250136-89BD-433C-8126-D09CA5730AF9}">
        <x15:connection id="fact_match">
          <x15:rangePr sourceName="_xlcn.WorksheetConnection_Book7fact_match1"/>
        </x15:connection>
      </ext>
    </extLst>
  </connection>
  <connection id="11" xr16:uid="{0362A76C-E005-4746-928E-848490E6EDCF}" name="WorksheetConnection_Book7!fact_player" type="102" refreshedVersion="8" minRefreshableVersion="5">
    <extLst>
      <ext xmlns:x15="http://schemas.microsoft.com/office/spreadsheetml/2010/11/main" uri="{DE250136-89BD-433C-8126-D09CA5730AF9}">
        <x15:connection id="fact_player">
          <x15:rangePr sourceName="_xlcn.WorksheetConnection_Book7fact_player1"/>
        </x15:connection>
      </ext>
    </extLst>
  </connection>
</connections>
</file>

<file path=xl/sharedStrings.xml><?xml version="1.0" encoding="utf-8"?>
<sst xmlns="http://schemas.openxmlformats.org/spreadsheetml/2006/main" count="1338" uniqueCount="381">
  <si>
    <t>Player_ID</t>
  </si>
  <si>
    <t>Player_Name</t>
  </si>
  <si>
    <t>Team_ID</t>
  </si>
  <si>
    <t>Role</t>
  </si>
  <si>
    <t>Nationality</t>
  </si>
  <si>
    <t>Age</t>
  </si>
  <si>
    <t>Batting_Style</t>
  </si>
  <si>
    <t>Bowling_Style</t>
  </si>
  <si>
    <t>P001</t>
  </si>
  <si>
    <t>Suryakumar Yadav</t>
  </si>
  <si>
    <t>T01</t>
  </si>
  <si>
    <t>Batsman</t>
  </si>
  <si>
    <t>Indian</t>
  </si>
  <si>
    <t>33</t>
  </si>
  <si>
    <t>Right-hand Bat</t>
  </si>
  <si>
    <t>Off-break</t>
  </si>
  <si>
    <t>P002</t>
  </si>
  <si>
    <t>Jasprit Bumrah</t>
  </si>
  <si>
    <t>Bowler</t>
  </si>
  <si>
    <t>31</t>
  </si>
  <si>
    <t>Right-arm Fast</t>
  </si>
  <si>
    <t>P003</t>
  </si>
  <si>
    <t>Ishan Kishan</t>
  </si>
  <si>
    <t>Wicketkeeper</t>
  </si>
  <si>
    <t>26</t>
  </si>
  <si>
    <t>Left-hand Bat</t>
  </si>
  <si>
    <t>None</t>
  </si>
  <si>
    <t>P004</t>
  </si>
  <si>
    <t>Tilak Varma</t>
  </si>
  <si>
    <t>All-Rounder</t>
  </si>
  <si>
    <t>22</t>
  </si>
  <si>
    <t>P005</t>
  </si>
  <si>
    <t>Hardik Pandya</t>
  </si>
  <si>
    <t>Right-arm Medium</t>
  </si>
  <si>
    <t>P006</t>
  </si>
  <si>
    <t>Shivam Dube</t>
  </si>
  <si>
    <t>T02</t>
  </si>
  <si>
    <t>P007</t>
  </si>
  <si>
    <t>Deepak Chahar</t>
  </si>
  <si>
    <t>32</t>
  </si>
  <si>
    <t>Right-arm Medium-Fast</t>
  </si>
  <si>
    <t>P008</t>
  </si>
  <si>
    <t>Daryl Mitchell</t>
  </si>
  <si>
    <t>New Zealander</t>
  </si>
  <si>
    <t>P009</t>
  </si>
  <si>
    <t>Matheesha Pathirana</t>
  </si>
  <si>
    <t>Sri Lankan</t>
  </si>
  <si>
    <t>P010</t>
  </si>
  <si>
    <t>Virat Kohli</t>
  </si>
  <si>
    <t>T03</t>
  </si>
  <si>
    <t>36</t>
  </si>
  <si>
    <t>P011</t>
  </si>
  <si>
    <t>Mohammed Siraj</t>
  </si>
  <si>
    <t>P012</t>
  </si>
  <si>
    <t>Glenn Maxwell</t>
  </si>
  <si>
    <t>Australian</t>
  </si>
  <si>
    <t>P013</t>
  </si>
  <si>
    <t>Dinesh Karthik</t>
  </si>
  <si>
    <t>39</t>
  </si>
  <si>
    <t>P014</t>
  </si>
  <si>
    <t>Rinku Singh</t>
  </si>
  <si>
    <t>T04</t>
  </si>
  <si>
    <t>27</t>
  </si>
  <si>
    <t>P015</t>
  </si>
  <si>
    <t>Andre Russell</t>
  </si>
  <si>
    <t>West Indian</t>
  </si>
  <si>
    <t>P016</t>
  </si>
  <si>
    <t>Sunil Narine</t>
  </si>
  <si>
    <t>P017</t>
  </si>
  <si>
    <t>Varun Chakravarthy</t>
  </si>
  <si>
    <t>Leg-break</t>
  </si>
  <si>
    <t>P018</t>
  </si>
  <si>
    <t>David Warner</t>
  </si>
  <si>
    <t>T05</t>
  </si>
  <si>
    <t>38</t>
  </si>
  <si>
    <t>P019</t>
  </si>
  <si>
    <t>Kuldeep Yadav</t>
  </si>
  <si>
    <t>30</t>
  </si>
  <si>
    <t>Left-arm Chinaman</t>
  </si>
  <si>
    <t>P020</t>
  </si>
  <si>
    <t>Mitchell Marsh</t>
  </si>
  <si>
    <t>P021</t>
  </si>
  <si>
    <t>Axar Patel</t>
  </si>
  <si>
    <t>Left-arm Off-break</t>
  </si>
  <si>
    <t>P022</t>
  </si>
  <si>
    <t>Jos Buttler</t>
  </si>
  <si>
    <t>T06</t>
  </si>
  <si>
    <t>English</t>
  </si>
  <si>
    <t>34</t>
  </si>
  <si>
    <t>P023</t>
  </si>
  <si>
    <t>Yuzvendra Chahal</t>
  </si>
  <si>
    <t>P024</t>
  </si>
  <si>
    <t>Trent Boult</t>
  </si>
  <si>
    <t>35</t>
  </si>
  <si>
    <t>Left-arm Fast-Medium</t>
  </si>
  <si>
    <t>P025</t>
  </si>
  <si>
    <t>Yashasvi Jaiswal</t>
  </si>
  <si>
    <t>23</t>
  </si>
  <si>
    <t>P026</t>
  </si>
  <si>
    <t>Liam Livingstone</t>
  </si>
  <si>
    <t>T07</t>
  </si>
  <si>
    <t>P027</t>
  </si>
  <si>
    <t>Arshdeep Singh</t>
  </si>
  <si>
    <t>25</t>
  </si>
  <si>
    <t>Left-arm Medium-Fast</t>
  </si>
  <si>
    <t>P028</t>
  </si>
  <si>
    <t>Jitesh Sharma</t>
  </si>
  <si>
    <t>P029</t>
  </si>
  <si>
    <t>Kagiso Rabada</t>
  </si>
  <si>
    <t>South African</t>
  </si>
  <si>
    <t>29</t>
  </si>
  <si>
    <t>P030</t>
  </si>
  <si>
    <t>Abhishek Sharma</t>
  </si>
  <si>
    <t>T08</t>
  </si>
  <si>
    <t>24</t>
  </si>
  <si>
    <t>P031</t>
  </si>
  <si>
    <t>Bhuvneshwar Kumar</t>
  </si>
  <si>
    <t>P032</t>
  </si>
  <si>
    <t>Heinrich Klaasen</t>
  </si>
  <si>
    <t>P033</t>
  </si>
  <si>
    <t>Travis Head</t>
  </si>
  <si>
    <t>Team_Name</t>
  </si>
  <si>
    <t>Captain</t>
  </si>
  <si>
    <t>Coach</t>
  </si>
  <si>
    <t>Home_Ground</t>
  </si>
  <si>
    <t>City</t>
  </si>
  <si>
    <t>Owner</t>
  </si>
  <si>
    <t>Mumbai Indians (MI)</t>
  </si>
  <si>
    <t>Rohit Sharma</t>
  </si>
  <si>
    <t>Mark Boucher</t>
  </si>
  <si>
    <t>Wankhede Stadium</t>
  </si>
  <si>
    <t>Mumbai</t>
  </si>
  <si>
    <t>Reliance Industries</t>
  </si>
  <si>
    <t>Chennai Super Kings (CSK)</t>
  </si>
  <si>
    <t>Ruturaj Gaikwad</t>
  </si>
  <si>
    <t>Stephen Fleming</t>
  </si>
  <si>
    <t>M. A. Chidambaram Stadium</t>
  </si>
  <si>
    <t>Chennai</t>
  </si>
  <si>
    <t>India Cements</t>
  </si>
  <si>
    <t>Royal Challengers Bengaluru (RCB)</t>
  </si>
  <si>
    <t>Faf du Plessis</t>
  </si>
  <si>
    <t>Andy Flower</t>
  </si>
  <si>
    <t>M. Chinnaswamy Stadium</t>
  </si>
  <si>
    <t>Bengaluru</t>
  </si>
  <si>
    <t>United Spirits</t>
  </si>
  <si>
    <t>Kolkata Knight Riders (KKR)</t>
  </si>
  <si>
    <t>Shreyas Iyer</t>
  </si>
  <si>
    <t>Chandrakant Pandit</t>
  </si>
  <si>
    <t>Eden Gardens</t>
  </si>
  <si>
    <t>Kolkata</t>
  </si>
  <si>
    <t>Shah Rukh Khan</t>
  </si>
  <si>
    <t>Delhi Capitals (DC)</t>
  </si>
  <si>
    <t>Rishabh Pant</t>
  </si>
  <si>
    <t>Ricky Ponting</t>
  </si>
  <si>
    <t>Arun Jaitley Stadium</t>
  </si>
  <si>
    <t>Delhi</t>
  </si>
  <si>
    <t>JSW Group</t>
  </si>
  <si>
    <t>Rajasthan Royals (RR)</t>
  </si>
  <si>
    <t>Sanju Samson</t>
  </si>
  <si>
    <t>Kumar Sangakkara</t>
  </si>
  <si>
    <t>Sawai Mansingh Stadium</t>
  </si>
  <si>
    <t>Jaipur</t>
  </si>
  <si>
    <t>Manoj Badale</t>
  </si>
  <si>
    <t>Punjab Kings (PBKS)</t>
  </si>
  <si>
    <t>Shikhar Dhawan</t>
  </si>
  <si>
    <t>Trevor Bayliss</t>
  </si>
  <si>
    <t>Maharaja Yadavindra Singh Int. Cricket Stadium</t>
  </si>
  <si>
    <t>Mohali</t>
  </si>
  <si>
    <t>Preity Zinta</t>
  </si>
  <si>
    <t>Sunrisers Hyderabad (SRH)</t>
  </si>
  <si>
    <t>Pat Cummins</t>
  </si>
  <si>
    <t>Daniel Vettori</t>
  </si>
  <si>
    <t>Rajiv Gandhi Int. Stadium</t>
  </si>
  <si>
    <t>Hyderabad</t>
  </si>
  <si>
    <t>Sun TV Network</t>
  </si>
  <si>
    <t>Venue_ID</t>
  </si>
  <si>
    <t>Venue_Name</t>
  </si>
  <si>
    <t>Capacity</t>
  </si>
  <si>
    <t>V01</t>
  </si>
  <si>
    <t>33108</t>
  </si>
  <si>
    <t>V02</t>
  </si>
  <si>
    <t>38000</t>
  </si>
  <si>
    <t>V03</t>
  </si>
  <si>
    <t>42000</t>
  </si>
  <si>
    <t>V04</t>
  </si>
  <si>
    <t>68000</t>
  </si>
  <si>
    <t>V05</t>
  </si>
  <si>
    <t>41820</t>
  </si>
  <si>
    <t>V06</t>
  </si>
  <si>
    <t>30000</t>
  </si>
  <si>
    <t>V07</t>
  </si>
  <si>
    <t>V08</t>
  </si>
  <si>
    <t>39200</t>
  </si>
  <si>
    <t>V09</t>
  </si>
  <si>
    <t>Narendra Modi Stadium</t>
  </si>
  <si>
    <t>Ahmedabad</t>
  </si>
  <si>
    <t>132000</t>
  </si>
  <si>
    <t>V10</t>
  </si>
  <si>
    <t>Bharat Ratna Shri Atal Bihari Vajpayee Ekana Cricket Stadium</t>
  </si>
  <si>
    <t>Lucknow</t>
  </si>
  <si>
    <t>50000</t>
  </si>
  <si>
    <t>Match_ID</t>
  </si>
  <si>
    <t>Date</t>
  </si>
  <si>
    <t>Team1_ID</t>
  </si>
  <si>
    <t>Team2_ID</t>
  </si>
  <si>
    <t>Toss_Winner</t>
  </si>
  <si>
    <t>Match_Winner</t>
  </si>
  <si>
    <t>Man_of_Match</t>
  </si>
  <si>
    <t>Team1_Runs</t>
  </si>
  <si>
    <t>Team2_Runs</t>
  </si>
  <si>
    <t>Team1_Wickets</t>
  </si>
  <si>
    <t>Team2_Wickets</t>
  </si>
  <si>
    <t>Overs_Team1</t>
  </si>
  <si>
    <t>Overs_Team2</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</si>
  <si>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</si>
  <si>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</si>
  <si>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</si>
  <si>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</si>
  <si>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</si>
  <si>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</si>
  <si>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</si>
  <si>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</si>
  <si>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</si>
  <si>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</si>
  <si>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</si>
  <si>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</si>
  <si>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</si>
  <si>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</si>
  <si>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</si>
  <si>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</si>
  <si>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</si>
  <si>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</si>
  <si>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</si>
  <si>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</si>
  <si>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</si>
  <si>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</si>
  <si>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</si>
  <si>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</si>
  <si>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</si>
  <si>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</si>
  <si>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</si>
  <si>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</si>
  <si>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</si>
  <si>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</si>
  <si>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</si>
  <si>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</si>
  <si>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</si>
  <si>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</si>
  <si>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</si>
  <si>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</si>
  <si>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</si>
  <si>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</si>
  <si>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</si>
  <si>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</si>
  <si>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</si>
  <si>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</si>
  <si>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</si>
  <si>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</si>
  <si>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</si>
  <si>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</si>
  <si>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</si>
  <si>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</si>
  <si>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</si>
  <si>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</si>
  <si>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</si>
  <si>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</si>
  <si>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</si>
  <si>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</si>
  <si>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</si>
  <si>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</si>
  <si>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</si>
  <si>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</si>
  <si>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</si>
  <si>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</si>
  <si>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Runs</t>
  </si>
  <si>
    <t>Balls_Faced</t>
  </si>
  <si>
    <t>Fours</t>
  </si>
  <si>
    <t>Sixes</t>
  </si>
  <si>
    <t>Strike_Rate</t>
  </si>
  <si>
    <t>Overs_Bowled</t>
  </si>
  <si>
    <t>Runs_Conceded</t>
  </si>
  <si>
    <t>Wickets</t>
  </si>
  <si>
    <t>Economy</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</si>
  <si>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</si>
  <si>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</si>
  <si>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</si>
  <si>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</si>
  <si>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</si>
  <si>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</si>
  <si>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</si>
  <si>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</si>
  <si>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</si>
  <si>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</si>
  <si>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</si>
  <si>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</si>
  <si>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</si>
  <si>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</si>
  <si>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</si>
  <si>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</si>
  <si>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</si>
  <si>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</si>
  <si>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</si>
  <si>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</si>
  <si>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</si>
  <si>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</si>
  <si>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</si>
  <si>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</si>
  <si>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</si>
  <si>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</si>
  <si>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</si>
  <si>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</si>
  <si>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</si>
  <si>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</si>
  <si>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</si>
  <si>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</si>
  <si>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</si>
  <si>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</si>
  <si>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</si>
  <si>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</si>
  <si>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</si>
  <si>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</si>
  <si>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</si>
  <si>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</si>
  <si>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</si>
  <si>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</si>
  <si>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</si>
  <si>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</si>
  <si>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</si>
  <si>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</si>
  <si>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</si>
  <si>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</si>
  <si>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</si>
  <si>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</si>
  <si>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</si>
  <si>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</si>
  <si>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</si>
  <si>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</si>
  <si>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</si>
  <si>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</si>
  <si>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</si>
  <si>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</si>
  <si>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</si>
  <si>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</si>
  <si>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</si>
  <si>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</si>
  <si>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</si>
  <si>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</si>
  <si>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</si>
  <si>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</si>
  <si>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</si>
  <si>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</si>
  <si>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</si>
  <si>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</si>
  <si>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</si>
  <si>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</si>
  <si>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</si>
  <si>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</si>
  <si>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</si>
  <si>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</si>
  <si>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</si>
  <si>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</si>
  <si>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</si>
  <si>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</si>
  <si>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Grand Total</t>
  </si>
  <si>
    <t>Team Name</t>
  </si>
  <si>
    <t>Total Matches</t>
  </si>
  <si>
    <t>Total Runs</t>
  </si>
  <si>
    <t>Total Wickets</t>
  </si>
  <si>
    <t>Total Wins</t>
  </si>
  <si>
    <t xml:space="preserve"> Players</t>
  </si>
  <si>
    <t>Balls Faced</t>
  </si>
  <si>
    <t>Runs Conceded</t>
  </si>
  <si>
    <t>Sum of Economy</t>
  </si>
  <si>
    <t>Strike Rate</t>
  </si>
  <si>
    <t>Win by Runs</t>
  </si>
  <si>
    <t>Win by Wickets</t>
  </si>
  <si>
    <t>Total Teams</t>
  </si>
  <si>
    <t>PlayerAvgStrikeRate</t>
  </si>
  <si>
    <t>Count of Team_ID</t>
  </si>
  <si>
    <t>Avg Str Rate</t>
  </si>
  <si>
    <t xml:space="preserve">Economy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</si>
</sst>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0" xfId="0" applyNumberFormat="1"/>
  </cellXfs>
  <cellStyles count="1">
    <cellStyle name="Normal" xfId="0" builtinId="0"/>
  </cellStyles>
  <dxfs count="2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haredStrings" Target="sharedStrings.xml"/><Relationship Id="rId39" Type="http://schemas.openxmlformats.org/officeDocument/2006/relationships/customXml" Target="../customXml/item11.xml"/><Relationship Id="rId21" Type="http://schemas.openxmlformats.org/officeDocument/2006/relationships/pivotCacheDefinition" Target="pivotCache/pivotCacheDefinition1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1.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Dashboard.xlsx]Team Summary!PivotTable2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'Team Summary'!$B$15</c:f>
              <c:strCache>
                <c:ptCount val="1"/>
                <c:pt idx="0">
                  <c:v>Total</c:v>
                </c:pt>
              </c:strCache>
            </c:strRef>
          </c:tx>
          <c:spPr>
            <a:solidFill>
              <a:schemeClr val="accent1"/>
            </a:solidFill>
            <a:ln>
              <a:noFill/>
            </a:ln>
            <a:effectLst/>
          </c:spPr>
          <c:invertIfNegative val="0"/>
          <c:cat>
            <c:strRef>
              <c:f>'Team Summary'!$A$16:$A$17</c:f>
              <c:strCache>
                <c:ptCount val="1"/>
                <c:pt idx="0">
                  <c:v>Royal Challengers Bengaluru (RCB)</c:v>
                </c:pt>
              </c:strCache>
            </c:strRef>
          </c:cat>
          <c:val>
            <c:numRef>
              <c:f>'Team Summary'!$B$16:$B$17</c:f>
              <c:numCache>
                <c:formatCode>0</c:formatCode>
                <c:ptCount val="1"/>
                <c:pt idx="0">
                  <c:v>4</c:v>
                </c:pt>
              </c:numCache>
            </c:numRef>
          </c:val>
          <c:extLst>
            <c:ext xmlns:c16="http://schemas.microsoft.com/office/drawing/2014/chart" uri="{C3380CC4-5D6E-409C-BE32-E72D297353CC}">
              <c16:uniqueId val="{00000004-A1D0-40B4-B9E6-4CC0DC736398}"/>
            </c:ext>
          </c:extLst>
        </c:ser>
        <c:dLbls>
          <c:showLegendKey val="0"/>
          <c:showVal val="0"/>
          <c:showCatName val="0"/>
          <c:showSerName val="0"/>
          <c:showPercent val="0"/>
          <c:showBubbleSize val="0"/>
        </c:dLbls>
        <c:gapWidth val="182"/>
        <c:axId val="1938037743"/>
        <c:axId val="1938044463"/>
      </c:barChart>
      <c:catAx>
        <c:axId val="193803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044463"/>
        <c:crosses val="autoZero"/>
        <c:auto val="1"/>
        <c:lblAlgn val="ctr"/>
        <c:lblOffset val="100"/>
        <c:noMultiLvlLbl val="0"/>
      </c:catAx>
      <c:valAx>
        <c:axId val="19380444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03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Dashboard.xlsx]Team Summary!PivotTable3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'Team Summary'!$P$3</c:f>
              <c:strCache>
                <c:ptCount val="1"/>
                <c:pt idx="0">
                  <c:v>Total</c:v>
                </c:pt>
              </c:strCache>
            </c:strRef>
          </c:tx>
          <c:spPr>
            <a:solidFill>
              <a:schemeClr val="accent1"/>
            </a:solidFill>
            <a:ln>
              <a:noFill/>
            </a:ln>
            <a:effectLst/>
          </c:spPr>
          <c:invertIfNegative val="0"/>
          <c:cat>
            <c:strRef>
              <c:f>'Team Summary'!$O$4:$O$12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 Summary'!$P$4:$P$12</c:f>
              <c:numCache>
                <c:formatCode>General</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0-6E50-472E-B3F5-8A9F3EA11742}"/>
            </c:ext>
          </c:extLst>
        </c:ser>
        <c:dLbls>
          <c:showLegendKey val="0"/>
          <c:showVal val="0"/>
          <c:showCatName val="0"/>
          <c:showSerName val="0"/>
          <c:showPercent val="0"/>
          <c:showBubbleSize val="0"/>
        </c:dLbls>
        <c:gapWidth val="219"/>
        <c:overlap val="-27"/>
        <c:axId val="1735390559"/>
        <c:axId val="1735376639"/>
      </c:barChart>
      <c:catAx>
        <c:axId val="173539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376639"/>
        <c:crosses val="autoZero"/>
        <c:auto val="1"/>
        <c:lblAlgn val="ctr"/>
        <c:lblOffset val="100"/>
        <c:noMultiLvlLbl val="0"/>
      </c:catAx>
      <c:valAx>
        <c:axId val="173537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39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Dashboard.xlsx]Team Summary!PivotTable4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'Team Summary'!$H$3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3D-45F2-B02A-7BC5780CD0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3D-45F2-B02A-7BC5780CD057}"/>
              </c:ext>
            </c:extLst>
          </c:dPt>
          <c:cat>
            <c:strRef>
              <c:f>'Team Summary'!$G$4:$G$6</c:f>
              <c:strCache>
                <c:ptCount val="2"/>
                <c:pt idx="0">
                  <c:v>Win by Runs</c:v>
                </c:pt>
                <c:pt idx="1">
                  <c:v>Win by Wickets</c:v>
                </c:pt>
              </c:strCache>
            </c:strRef>
          </c:cat>
          <c:val>
            <c:numRef>
              <c:f>'Team Summary'!$H$4:$H$6</c:f>
              <c:numCache>
                <c:formatCode>General</c:formatCode>
                <c:ptCount val="2"/>
                <c:pt idx="0">
                  <c:v>2234</c:v>
                </c:pt>
                <c:pt idx="1">
                  <c:v>366</c:v>
                </c:pt>
              </c:numCache>
            </c:numRef>
          </c:val>
          <c:extLst>
            <c:ext xmlns:c16="http://schemas.microsoft.com/office/drawing/2014/chart" uri="{C3380CC4-5D6E-409C-BE32-E72D297353CC}">
              <c16:uniqueId val="{00000005-1F86-407D-B0EA-D6E9013136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Dashboard.xlsx]Team Summary!PivotTable2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'Team Summary'!$B$15</c:f>
              <c:strCache>
                <c:ptCount val="1"/>
                <c:pt idx="0">
                  <c:v>Total</c:v>
                </c:pt>
              </c:strCache>
            </c:strRef>
          </c:tx>
          <c:spPr>
            <a:solidFill>
              <a:schemeClr val="accent1"/>
            </a:solidFill>
            <a:ln>
              <a:noFill/>
            </a:ln>
            <a:effectLst/>
          </c:spPr>
          <c:invertIfNegative val="0"/>
          <c:cat>
            <c:strRef>
              <c:f>'Team Summary'!$A$16:$A$17</c:f>
              <c:strCache>
                <c:ptCount val="1"/>
                <c:pt idx="0">
                  <c:v>Royal Challengers Bengaluru (RCB)</c:v>
                </c:pt>
              </c:strCache>
            </c:strRef>
          </c:cat>
          <c:val>
            <c:numRef>
              <c:f>'Team Summary'!$B$16:$B$17</c:f>
              <c:numCache>
                <c:formatCode>0</c:formatCode>
                <c:ptCount val="1"/>
                <c:pt idx="0">
                  <c:v>4</c:v>
                </c:pt>
              </c:numCache>
            </c:numRef>
          </c:val>
          <c:extLst>
            <c:ext xmlns:c16="http://schemas.microsoft.com/office/drawing/2014/chart" uri="{C3380CC4-5D6E-409C-BE32-E72D297353CC}">
              <c16:uniqueId val="{00000004-DE78-40AF-8C9B-43CB54976B3A}"/>
            </c:ext>
          </c:extLst>
        </c:ser>
        <c:dLbls>
          <c:showLegendKey val="0"/>
          <c:showVal val="0"/>
          <c:showCatName val="0"/>
          <c:showSerName val="0"/>
          <c:showPercent val="0"/>
          <c:showBubbleSize val="0"/>
        </c:dLbls>
        <c:gapWidth val="182"/>
        <c:axId val="1938037743"/>
        <c:axId val="1938044463"/>
      </c:barChart>
      <c:catAx>
        <c:axId val="193803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044463"/>
        <c:crosses val="autoZero"/>
        <c:auto val="1"/>
        <c:lblAlgn val="ctr"/>
        <c:lblOffset val="100"/>
        <c:noMultiLvlLbl val="0"/>
      </c:catAx>
      <c:valAx>
        <c:axId val="19380444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03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Dashboard.xlsx]Team Summary!PivotTable3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'Team Summary'!$P$3</c:f>
              <c:strCache>
                <c:ptCount val="1"/>
                <c:pt idx="0">
                  <c:v>Total</c:v>
                </c:pt>
              </c:strCache>
            </c:strRef>
          </c:tx>
          <c:spPr>
            <a:solidFill>
              <a:schemeClr val="accent1"/>
            </a:solidFill>
            <a:ln>
              <a:noFill/>
            </a:ln>
            <a:effectLst/>
          </c:spPr>
          <c:invertIfNegative val="0"/>
          <c:cat>
            <c:strRef>
              <c:f>'Team Summary'!$O$4:$O$12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 Summary'!$P$4:$P$12</c:f>
              <c:numCache>
                <c:formatCode>General</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0-8D6D-4B55-8DDC-D1279B5BABB5}"/>
            </c:ext>
          </c:extLst>
        </c:ser>
        <c:dLbls>
          <c:showLegendKey val="0"/>
          <c:showVal val="0"/>
          <c:showCatName val="0"/>
          <c:showSerName val="0"/>
          <c:showPercent val="0"/>
          <c:showBubbleSize val="0"/>
        </c:dLbls>
        <c:gapWidth val="219"/>
        <c:overlap val="-27"/>
        <c:axId val="1735390559"/>
        <c:axId val="1735376639"/>
      </c:barChart>
      <c:catAx>
        <c:axId val="173539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376639"/>
        <c:crosses val="autoZero"/>
        <c:auto val="1"/>
        <c:lblAlgn val="ctr"/>
        <c:lblOffset val="100"/>
        <c:noMultiLvlLbl val="0"/>
      </c:catAx>
      <c:valAx>
        <c:axId val="173537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39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[IPL 2025 Dashboard.xlsx]Team Summary!PivotTable4</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outerShdw blurRad="317500" algn="ctr" rotWithShape="0">
              <a:prstClr val="black">
                <a:alpha val="25000"/>
              </a:prstClr>
            </a:outerShdw>
          </a:effectLst>
        </c:spPr>
      </c:pivotFmt>
      <c:pivotFmt>
        <c:idx val="6"/>
        <c:spPr>
          <a:solidFill>
            <a:schemeClr val="accent1">
              <a:tint val="77000"/>
            </a:schemeClr>
          </a:solidFill>
          <a:ln>
            <a:noFill/>
          </a:ln>
          <a:effectLst>
            <a:outerShdw blurRad="317500" algn="ctr" rotWithShape="0">
              <a:prstClr val="black">
                <a:alpha val="25000"/>
              </a:prstClr>
            </a:outerShdw>
          </a:effectLst>
        </c:spPr>
      </c:pivotFmt>
    </c:pivotFmts>
    <c:plotArea>
      <c:layout/>
      <c:pieChart>
        <c:varyColors val="1"/>
        <c:ser>
          <c:idx val="0"/>
          <c:order val="0"/>
          <c:tx>
            <c:strRef>
              <c:f>'Team Summary'!$H$3</c:f>
              <c:strCache>
                <c:ptCount val="1"/>
                <c:pt idx="0">
                  <c:v>Total</c:v>
                </c:pt>
              </c:strCache>
            </c:strRef>
          </c:tx>
          <c:dPt>
            <c:idx val="0"/>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D86-4B9A-914F-F2DD5FFB8DEB}"/>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D86-4B9A-914F-F2DD5FFB8DE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'Team Summary'!$G$4:$G$6</c:f>
              <c:strCache>
                <c:ptCount val="2"/>
                <c:pt idx="0">
                  <c:v>Win by Runs</c:v>
                </c:pt>
                <c:pt idx="1">
                  <c:v>Win by Wickets</c:v>
                </c:pt>
              </c:strCache>
            </c:strRef>
          </c:cat>
          <c:val>
            <c:numRef>
              <c:f>'Team Summary'!$H$4:$H$6</c:f>
              <c:numCache>
                <c:formatCode>General</c:formatCode>
                <c:ptCount val="2"/>
                <c:pt idx="0">
                  <c:v>2234</c:v>
                </c:pt>
                <c:pt idx="1">
                  <c:v>366</c:v>
                </c:pt>
              </c:numCache>
            </c:numRef>
          </c:val>
          <c:extLst>
            <c:ext xmlns:c16="http://schemas.microsoft.com/office/drawing/2014/chart" uri="{C3380CC4-5D6E-409C-BE32-E72D297353CC}">
              <c16:uniqueId val="{00000009-C9AB-4C69-9A75-516D7E6FFBA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Dashboard.xlsx]Player Summary!PivotTable13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'Player Summary'!$B$40</c:f>
              <c:strCache>
                <c:ptCount val="1"/>
                <c:pt idx="0">
                  <c:v>Strike Rate</c:v>
                </c:pt>
              </c:strCache>
            </c:strRef>
          </c:tx>
          <c:spPr>
            <a:solidFill>
              <a:schemeClr val="accent1"/>
            </a:solidFill>
            <a:ln>
              <a:noFill/>
            </a:ln>
            <a:effectLst/>
          </c:spPr>
          <c:cat>
            <c:strRef>
              <c:f>'Player Summary'!$A$41:$A$74</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Summary'!$B$41:$B$74</c:f>
              <c:numCache>
                <c:formatCode>General</c:formatCode>
                <c:ptCount val="33"/>
                <c:pt idx="0">
                  <c:v>1004.92</c:v>
                </c:pt>
                <c:pt idx="1">
                  <c:v>1145.28</c:v>
                </c:pt>
                <c:pt idx="2">
                  <c:v>0</c:v>
                </c:pt>
                <c:pt idx="3">
                  <c:v>0</c:v>
                </c:pt>
                <c:pt idx="4">
                  <c:v>0</c:v>
                </c:pt>
                <c:pt idx="5">
                  <c:v>623.80999999999995</c:v>
                </c:pt>
                <c:pt idx="6">
                  <c:v>180</c:v>
                </c:pt>
                <c:pt idx="7">
                  <c:v>0</c:v>
                </c:pt>
                <c:pt idx="8">
                  <c:v>200</c:v>
                </c:pt>
                <c:pt idx="9">
                  <c:v>370</c:v>
                </c:pt>
                <c:pt idx="10">
                  <c:v>476.67</c:v>
                </c:pt>
                <c:pt idx="11">
                  <c:v>1334.32</c:v>
                </c:pt>
                <c:pt idx="12">
                  <c:v>637.62</c:v>
                </c:pt>
                <c:pt idx="13">
                  <c:v>0</c:v>
                </c:pt>
                <c:pt idx="14">
                  <c:v>166.67</c:v>
                </c:pt>
                <c:pt idx="15">
                  <c:v>1213.9100000000001</c:v>
                </c:pt>
                <c:pt idx="16">
                  <c:v>0</c:v>
                </c:pt>
                <c:pt idx="17">
                  <c:v>0</c:v>
                </c:pt>
                <c:pt idx="18">
                  <c:v>645.84</c:v>
                </c:pt>
                <c:pt idx="19">
                  <c:v>0</c:v>
                </c:pt>
                <c:pt idx="20">
                  <c:v>521.42999999999995</c:v>
                </c:pt>
                <c:pt idx="21">
                  <c:v>0</c:v>
                </c:pt>
                <c:pt idx="22">
                  <c:v>708.97</c:v>
                </c:pt>
                <c:pt idx="23">
                  <c:v>1250.04</c:v>
                </c:pt>
                <c:pt idx="24">
                  <c:v>1101.67</c:v>
                </c:pt>
                <c:pt idx="25">
                  <c:v>688.89</c:v>
                </c:pt>
                <c:pt idx="26">
                  <c:v>338.1</c:v>
                </c:pt>
                <c:pt idx="27">
                  <c:v>1155.68</c:v>
                </c:pt>
                <c:pt idx="28">
                  <c:v>0</c:v>
                </c:pt>
                <c:pt idx="29">
                  <c:v>0</c:v>
                </c:pt>
                <c:pt idx="30">
                  <c:v>1706.32</c:v>
                </c:pt>
                <c:pt idx="31">
                  <c:v>1349.96</c:v>
                </c:pt>
                <c:pt idx="32">
                  <c:v>0</c:v>
                </c:pt>
              </c:numCache>
            </c:numRef>
          </c:val>
          <c:extLst>
            <c:ext xmlns:c16="http://schemas.microsoft.com/office/drawing/2014/chart" uri="{C3380CC4-5D6E-409C-BE32-E72D297353CC}">
              <c16:uniqueId val="{00000000-A1D5-4884-8B4F-BAB773D7161F}"/>
            </c:ext>
          </c:extLst>
        </c:ser>
        <c:ser>
          <c:idx val="1"/>
          <c:order val="1"/>
          <c:tx>
            <c:strRef>
              <c:f>'Player Summary'!$C$40</c:f>
              <c:strCache>
                <c:ptCount val="1"/>
                <c:pt idx="0">
                  <c:v>PlayerAvgStrikeRate</c:v>
                </c:pt>
              </c:strCache>
            </c:strRef>
          </c:tx>
          <c:spPr>
            <a:solidFill>
              <a:schemeClr val="accent2"/>
            </a:solidFill>
            <a:ln>
              <a:noFill/>
            </a:ln>
            <a:effectLst/>
          </c:spPr>
          <c:cat>
            <c:strRef>
              <c:f>'Player Summary'!$A$41:$A$74</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Summary'!$C$41:$C$74</c:f>
              <c:numCache>
                <c:formatCode>0.00</c:formatCode>
                <c:ptCount val="33"/>
                <c:pt idx="0">
                  <c:v>167.48666666666665</c:v>
                </c:pt>
                <c:pt idx="1">
                  <c:v>190.88</c:v>
                </c:pt>
                <c:pt idx="2">
                  <c:v>0</c:v>
                </c:pt>
                <c:pt idx="3">
                  <c:v>0</c:v>
                </c:pt>
                <c:pt idx="4">
                  <c:v>0</c:v>
                </c:pt>
                <c:pt idx="5">
                  <c:v>155.95249999999999</c:v>
                </c:pt>
                <c:pt idx="6">
                  <c:v>180</c:v>
                </c:pt>
                <c:pt idx="7">
                  <c:v>0</c:v>
                </c:pt>
                <c:pt idx="8">
                  <c:v>200</c:v>
                </c:pt>
                <c:pt idx="9">
                  <c:v>185</c:v>
                </c:pt>
                <c:pt idx="10">
                  <c:v>158.89000000000001</c:v>
                </c:pt>
                <c:pt idx="11">
                  <c:v>190.61714285714285</c:v>
                </c:pt>
                <c:pt idx="12">
                  <c:v>159.405</c:v>
                </c:pt>
                <c:pt idx="13">
                  <c:v>0</c:v>
                </c:pt>
                <c:pt idx="14">
                  <c:v>166.67</c:v>
                </c:pt>
                <c:pt idx="15">
                  <c:v>173.4157142857143</c:v>
                </c:pt>
                <c:pt idx="16">
                  <c:v>0</c:v>
                </c:pt>
                <c:pt idx="17">
                  <c:v>0</c:v>
                </c:pt>
                <c:pt idx="18">
                  <c:v>161.46</c:v>
                </c:pt>
                <c:pt idx="19">
                  <c:v>0</c:v>
                </c:pt>
                <c:pt idx="20">
                  <c:v>173.80999999999997</c:v>
                </c:pt>
                <c:pt idx="21">
                  <c:v>0</c:v>
                </c:pt>
                <c:pt idx="22">
                  <c:v>177.24250000000001</c:v>
                </c:pt>
                <c:pt idx="23">
                  <c:v>178.57714285714286</c:v>
                </c:pt>
                <c:pt idx="24">
                  <c:v>183.61166666666668</c:v>
                </c:pt>
                <c:pt idx="25">
                  <c:v>172.2225</c:v>
                </c:pt>
                <c:pt idx="26">
                  <c:v>169.05</c:v>
                </c:pt>
                <c:pt idx="27">
                  <c:v>165.09714285714287</c:v>
                </c:pt>
                <c:pt idx="28">
                  <c:v>0</c:v>
                </c:pt>
                <c:pt idx="29">
                  <c:v>0</c:v>
                </c:pt>
                <c:pt idx="30">
                  <c:v>170.63200000000001</c:v>
                </c:pt>
                <c:pt idx="31">
                  <c:v>168.745</c:v>
                </c:pt>
                <c:pt idx="32">
                  <c:v>0</c:v>
                </c:pt>
              </c:numCache>
            </c:numRef>
          </c:val>
          <c:extLst>
            <c:ext xmlns:c16="http://schemas.microsoft.com/office/drawing/2014/chart" uri="{C3380CC4-5D6E-409C-BE32-E72D297353CC}">
              <c16:uniqueId val="{00000001-A1D5-4884-8B4F-BAB773D7161F}"/>
            </c:ext>
          </c:extLst>
        </c:ser>
        <c:dLbls>
          <c:showLegendKey val="0"/>
          <c:showVal val="0"/>
          <c:showCatName val="0"/>
          <c:showSerName val="0"/>
          <c:showPercent val="0"/>
          <c:showBubbleSize val="0"/>
        </c:dLbls>
        <c:axId val="788561599"/>
        <c:axId val="788560639"/>
      </c:areaChart>
      <c:catAx>
        <c:axId val="788561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560639"/>
        <c:crosses val="autoZero"/>
        <c:auto val="1"/>
        <c:lblAlgn val="ctr"/>
        <c:lblOffset val="100"/>
        <c:noMultiLvlLbl val="0"/>
      </c:catAx>
      <c:valAx>
        <c:axId val="78856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5615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Dashboard.xlsx]Player Summary!PivotTable11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Summary'!$J$3</c:f>
              <c:strCache>
                <c:ptCount val="1"/>
                <c:pt idx="0">
                  <c:v>Total</c:v>
                </c:pt>
              </c:strCache>
            </c:strRef>
          </c:tx>
          <c:spPr>
            <a:solidFill>
              <a:schemeClr val="accent1"/>
            </a:solidFill>
            <a:ln>
              <a:noFill/>
            </a:ln>
            <a:effectLst/>
          </c:spPr>
          <c:invertIfNegative val="0"/>
          <c:cat>
            <c:strRef>
              <c:f>'Player Summary'!$I$4:$I$37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Summary'!$J$4:$J$37</c:f>
              <c:numCache>
                <c:formatCode>General</c:formatCode>
                <c:ptCount val="33"/>
                <c:pt idx="0">
                  <c:v>420</c:v>
                </c:pt>
                <c:pt idx="1">
                  <c:v>343</c:v>
                </c:pt>
                <c:pt idx="2">
                  <c:v>0</c:v>
                </c:pt>
                <c:pt idx="3">
                  <c:v>0</c:v>
                </c:pt>
                <c:pt idx="4">
                  <c:v>0</c:v>
                </c:pt>
                <c:pt idx="5">
                  <c:v>201</c:v>
                </c:pt>
                <c:pt idx="6">
                  <c:v>90</c:v>
                </c:pt>
                <c:pt idx="7">
                  <c:v>0</c:v>
                </c:pt>
                <c:pt idx="8">
                  <c:v>42</c:v>
                </c:pt>
                <c:pt idx="9">
                  <c:v>118</c:v>
                </c:pt>
                <c:pt idx="10">
                  <c:v>120</c:v>
                </c:pt>
                <c:pt idx="11">
                  <c:v>482</c:v>
                </c:pt>
                <c:pt idx="12">
                  <c:v>233</c:v>
                </c:pt>
                <c:pt idx="13">
                  <c:v>0</c:v>
                </c:pt>
                <c:pt idx="14">
                  <c:v>70</c:v>
                </c:pt>
                <c:pt idx="15">
                  <c:v>557</c:v>
                </c:pt>
                <c:pt idx="16">
                  <c:v>0</c:v>
                </c:pt>
                <c:pt idx="17">
                  <c:v>0</c:v>
                </c:pt>
                <c:pt idx="18">
                  <c:v>260</c:v>
                </c:pt>
                <c:pt idx="19">
                  <c:v>0</c:v>
                </c:pt>
                <c:pt idx="20">
                  <c:v>165</c:v>
                </c:pt>
                <c:pt idx="21">
                  <c:v>0</c:v>
                </c:pt>
                <c:pt idx="22">
                  <c:v>305</c:v>
                </c:pt>
                <c:pt idx="23">
                  <c:v>471</c:v>
                </c:pt>
                <c:pt idx="24">
                  <c:v>146</c:v>
                </c:pt>
                <c:pt idx="25">
                  <c:v>321</c:v>
                </c:pt>
                <c:pt idx="26">
                  <c:v>110</c:v>
                </c:pt>
                <c:pt idx="27">
                  <c:v>515</c:v>
                </c:pt>
                <c:pt idx="28">
                  <c:v>0</c:v>
                </c:pt>
                <c:pt idx="29">
                  <c:v>0</c:v>
                </c:pt>
                <c:pt idx="30">
                  <c:v>820</c:v>
                </c:pt>
                <c:pt idx="31">
                  <c:v>596</c:v>
                </c:pt>
                <c:pt idx="32">
                  <c:v>0</c:v>
                </c:pt>
              </c:numCache>
            </c:numRef>
          </c:val>
          <c:extLst>
            <c:ext xmlns:c16="http://schemas.microsoft.com/office/drawing/2014/chart" uri="{C3380CC4-5D6E-409C-BE32-E72D297353CC}">
              <c16:uniqueId val="{00000000-AC9B-43A2-8DF1-9E70A4E0B6F1}"/>
            </c:ext>
          </c:extLst>
        </c:ser>
        <c:dLbls>
          <c:showLegendKey val="0"/>
          <c:showVal val="0"/>
          <c:showCatName val="0"/>
          <c:showSerName val="0"/>
          <c:showPercent val="0"/>
          <c:showBubbleSize val="0"/>
        </c:dLbls>
        <c:gapWidth val="219"/>
        <c:overlap val="-27"/>
        <c:axId val="675280223"/>
        <c:axId val="675278783"/>
      </c:barChart>
      <c:catAx>
        <c:axId val="67528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78783"/>
        <c:crosses val="autoZero"/>
        <c:auto val="1"/>
        <c:lblAlgn val="ctr"/>
        <c:lblOffset val="100"/>
        <c:noMultiLvlLbl val="0"/>
      </c:catAx>
      <c:valAx>
        <c:axId val="67527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8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Dashboard.xlsx]Player Summary!PivotTable12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Summary'!$V$3</c:f>
              <c:strCache>
                <c:ptCount val="1"/>
                <c:pt idx="0">
                  <c:v>Total</c:v>
                </c:pt>
              </c:strCache>
            </c:strRef>
          </c:tx>
          <c:spPr>
            <a:solidFill>
              <a:schemeClr val="accent1"/>
            </a:solidFill>
            <a:ln>
              <a:noFill/>
            </a:ln>
            <a:effectLst/>
          </c:spPr>
          <c:invertIfNegative val="0"/>
          <c:cat>
            <c:strRef>
              <c:f>'Player Summary'!$U$4:$U$37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Summary'!$V$4:$V$37</c:f>
              <c:numCache>
                <c:formatCode>General</c:formatCode>
                <c:ptCount val="33"/>
                <c:pt idx="0">
                  <c:v>0</c:v>
                </c:pt>
                <c:pt idx="1">
                  <c:v>11</c:v>
                </c:pt>
                <c:pt idx="2">
                  <c:v>14</c:v>
                </c:pt>
                <c:pt idx="3">
                  <c:v>7</c:v>
                </c:pt>
                <c:pt idx="4">
                  <c:v>3</c:v>
                </c:pt>
                <c:pt idx="5">
                  <c:v>0</c:v>
                </c:pt>
                <c:pt idx="6">
                  <c:v>0</c:v>
                </c:pt>
                <c:pt idx="7">
                  <c:v>15</c:v>
                </c:pt>
                <c:pt idx="8">
                  <c:v>0</c:v>
                </c:pt>
                <c:pt idx="9">
                  <c:v>0</c:v>
                </c:pt>
                <c:pt idx="10">
                  <c:v>5</c:v>
                </c:pt>
                <c:pt idx="11">
                  <c:v>0</c:v>
                </c:pt>
                <c:pt idx="12">
                  <c:v>0</c:v>
                </c:pt>
                <c:pt idx="13">
                  <c:v>14</c:v>
                </c:pt>
                <c:pt idx="14">
                  <c:v>0</c:v>
                </c:pt>
                <c:pt idx="15">
                  <c:v>0</c:v>
                </c:pt>
                <c:pt idx="16">
                  <c:v>6</c:v>
                </c:pt>
                <c:pt idx="17">
                  <c:v>9</c:v>
                </c:pt>
                <c:pt idx="18">
                  <c:v>0</c:v>
                </c:pt>
                <c:pt idx="19">
                  <c:v>3</c:v>
                </c:pt>
                <c:pt idx="20">
                  <c:v>0</c:v>
                </c:pt>
                <c:pt idx="21">
                  <c:v>7</c:v>
                </c:pt>
                <c:pt idx="22">
                  <c:v>0</c:v>
                </c:pt>
                <c:pt idx="23">
                  <c:v>0</c:v>
                </c:pt>
                <c:pt idx="24">
                  <c:v>14</c:v>
                </c:pt>
                <c:pt idx="25">
                  <c:v>0</c:v>
                </c:pt>
                <c:pt idx="26">
                  <c:v>0</c:v>
                </c:pt>
                <c:pt idx="27">
                  <c:v>0</c:v>
                </c:pt>
                <c:pt idx="28">
                  <c:v>12</c:v>
                </c:pt>
                <c:pt idx="29">
                  <c:v>15</c:v>
                </c:pt>
                <c:pt idx="30">
                  <c:v>0</c:v>
                </c:pt>
                <c:pt idx="31">
                  <c:v>0</c:v>
                </c:pt>
                <c:pt idx="32">
                  <c:v>5</c:v>
                </c:pt>
              </c:numCache>
            </c:numRef>
          </c:val>
          <c:extLst>
            <c:ext xmlns:c16="http://schemas.microsoft.com/office/drawing/2014/chart" uri="{C3380CC4-5D6E-409C-BE32-E72D297353CC}">
              <c16:uniqueId val="{00000000-3346-4C35-9927-78BEA981FC5A}"/>
            </c:ext>
          </c:extLst>
        </c:ser>
        <c:dLbls>
          <c:showLegendKey val="0"/>
          <c:showVal val="0"/>
          <c:showCatName val="0"/>
          <c:showSerName val="0"/>
          <c:showPercent val="0"/>
          <c:showBubbleSize val="0"/>
        </c:dLbls>
        <c:gapWidth val="219"/>
        <c:overlap val="-27"/>
        <c:axId val="979603471"/>
        <c:axId val="979600591"/>
      </c:barChart>
      <c:catAx>
        <c:axId val="97960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00591"/>
        <c:crosses val="autoZero"/>
        <c:auto val="1"/>
        <c:lblAlgn val="ctr"/>
        <c:lblOffset val="100"/>
        <c:noMultiLvlLbl val="0"/>
      </c:catAx>
      <c:valAx>
        <c:axId val="97960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0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Dashboard.xlsx]Player Summary!PivotTable14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pieChart>
        <c:varyColors val="1"/>
        <c:ser>
          <c:idx val="0"/>
          <c:order val="0"/>
          <c:tx>
            <c:strRef>
              <c:f>'Player Summary'!$Q$40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DB-44D2-B6E6-91F84BE3F8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DB-44D2-B6E6-91F84BE3F8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DB-44D2-B6E6-91F84BE3F8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DB-44D2-B6E6-91F84BE3F8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DB-44D2-B6E6-91F84BE3F87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FDB-44D2-B6E6-91F84BE3F87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FDB-44D2-B6E6-91F84BE3F87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FDB-44D2-B6E6-91F84BE3F87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FDB-44D2-B6E6-91F84BE3F87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FDB-44D2-B6E6-91F84BE3F87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FDB-44D2-B6E6-91F84BE3F87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FDB-44D2-B6E6-91F84BE3F87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FDB-44D2-B6E6-91F84BE3F87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FDB-44D2-B6E6-91F84BE3F87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FDB-44D2-B6E6-91F84BE3F87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FDB-44D2-B6E6-91F84BE3F87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FDB-44D2-B6E6-91F84BE3F87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FDB-44D2-B6E6-91F84BE3F87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FDB-44D2-B6E6-91F84BE3F87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FDB-44D2-B6E6-91F84BE3F87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FDB-44D2-B6E6-91F84BE3F87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FFDB-44D2-B6E6-91F84BE3F87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FFDB-44D2-B6E6-91F84BE3F87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FFDB-44D2-B6E6-91F84BE3F871}"/>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FFDB-44D2-B6E6-91F84BE3F871}"/>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FFDB-44D2-B6E6-91F84BE3F871}"/>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FFDB-44D2-B6E6-91F84BE3F871}"/>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FFDB-44D2-B6E6-91F84BE3F871}"/>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FFDB-44D2-B6E6-91F84BE3F871}"/>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FFDB-44D2-B6E6-91F84BE3F871}"/>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FFDB-44D2-B6E6-91F84BE3F871}"/>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FFDB-44D2-B6E6-91F84BE3F871}"/>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FFDB-44D2-B6E6-91F84BE3F8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 Summary'!$P$41:$P$74</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Summary'!$Q$41:$Q$74</c:f>
              <c:numCache>
                <c:formatCode>General</c:formatCode>
                <c:ptCount val="33"/>
                <c:pt idx="0">
                  <c:v>0</c:v>
                </c:pt>
                <c:pt idx="1">
                  <c:v>54</c:v>
                </c:pt>
                <c:pt idx="2">
                  <c:v>33.5</c:v>
                </c:pt>
                <c:pt idx="3">
                  <c:v>16.75</c:v>
                </c:pt>
                <c:pt idx="4">
                  <c:v>14.5</c:v>
                </c:pt>
                <c:pt idx="5">
                  <c:v>0</c:v>
                </c:pt>
                <c:pt idx="6">
                  <c:v>0</c:v>
                </c:pt>
                <c:pt idx="7">
                  <c:v>38.25</c:v>
                </c:pt>
                <c:pt idx="8">
                  <c:v>0</c:v>
                </c:pt>
                <c:pt idx="9">
                  <c:v>0</c:v>
                </c:pt>
                <c:pt idx="10">
                  <c:v>22.5</c:v>
                </c:pt>
                <c:pt idx="11">
                  <c:v>0</c:v>
                </c:pt>
                <c:pt idx="12">
                  <c:v>0</c:v>
                </c:pt>
                <c:pt idx="13">
                  <c:v>31.5</c:v>
                </c:pt>
                <c:pt idx="14">
                  <c:v>0</c:v>
                </c:pt>
                <c:pt idx="15">
                  <c:v>0</c:v>
                </c:pt>
                <c:pt idx="16">
                  <c:v>19.25</c:v>
                </c:pt>
                <c:pt idx="17">
                  <c:v>16.75</c:v>
                </c:pt>
                <c:pt idx="18">
                  <c:v>0</c:v>
                </c:pt>
                <c:pt idx="19">
                  <c:v>5.25</c:v>
                </c:pt>
                <c:pt idx="20">
                  <c:v>0</c:v>
                </c:pt>
                <c:pt idx="21">
                  <c:v>21.25</c:v>
                </c:pt>
                <c:pt idx="22">
                  <c:v>0</c:v>
                </c:pt>
                <c:pt idx="23">
                  <c:v>0</c:v>
                </c:pt>
                <c:pt idx="24">
                  <c:v>36.75</c:v>
                </c:pt>
                <c:pt idx="25">
                  <c:v>0</c:v>
                </c:pt>
                <c:pt idx="26">
                  <c:v>0</c:v>
                </c:pt>
                <c:pt idx="27">
                  <c:v>0</c:v>
                </c:pt>
                <c:pt idx="28">
                  <c:v>20.75</c:v>
                </c:pt>
                <c:pt idx="29">
                  <c:v>29.61</c:v>
                </c:pt>
                <c:pt idx="30">
                  <c:v>0</c:v>
                </c:pt>
                <c:pt idx="31">
                  <c:v>0</c:v>
                </c:pt>
                <c:pt idx="32">
                  <c:v>12.5</c:v>
                </c:pt>
              </c:numCache>
            </c:numRef>
          </c:val>
          <c:extLst>
            <c:ext xmlns:c16="http://schemas.microsoft.com/office/drawing/2014/chart" uri="{C3380CC4-5D6E-409C-BE32-E72D297353CC}">
              <c16:uniqueId val="{00000042-FFDB-44D2-B6E6-91F84BE3F87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Dashboard.xlsx]Player Summary!PivotTable11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Summary'!$J$3</c:f>
              <c:strCache>
                <c:ptCount val="1"/>
                <c:pt idx="0">
                  <c:v>Total</c:v>
                </c:pt>
              </c:strCache>
            </c:strRef>
          </c:tx>
          <c:spPr>
            <a:solidFill>
              <a:schemeClr val="accent1"/>
            </a:solidFill>
            <a:ln>
              <a:noFill/>
            </a:ln>
            <a:effectLst/>
          </c:spPr>
          <c:invertIfNegative val="0"/>
          <c:cat>
            <c:strRef>
              <c:f>'Player Summary'!$I$4:$I$37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Summary'!$J$4:$J$37</c:f>
              <c:numCache>
                <c:formatCode>General</c:formatCode>
                <c:ptCount val="33"/>
                <c:pt idx="0">
                  <c:v>420</c:v>
                </c:pt>
                <c:pt idx="1">
                  <c:v>343</c:v>
                </c:pt>
                <c:pt idx="2">
                  <c:v>0</c:v>
                </c:pt>
                <c:pt idx="3">
                  <c:v>0</c:v>
                </c:pt>
                <c:pt idx="4">
                  <c:v>0</c:v>
                </c:pt>
                <c:pt idx="5">
                  <c:v>201</c:v>
                </c:pt>
                <c:pt idx="6">
                  <c:v>90</c:v>
                </c:pt>
                <c:pt idx="7">
                  <c:v>0</c:v>
                </c:pt>
                <c:pt idx="8">
                  <c:v>42</c:v>
                </c:pt>
                <c:pt idx="9">
                  <c:v>118</c:v>
                </c:pt>
                <c:pt idx="10">
                  <c:v>120</c:v>
                </c:pt>
                <c:pt idx="11">
                  <c:v>482</c:v>
                </c:pt>
                <c:pt idx="12">
                  <c:v>233</c:v>
                </c:pt>
                <c:pt idx="13">
                  <c:v>0</c:v>
                </c:pt>
                <c:pt idx="14">
                  <c:v>70</c:v>
                </c:pt>
                <c:pt idx="15">
                  <c:v>557</c:v>
                </c:pt>
                <c:pt idx="16">
                  <c:v>0</c:v>
                </c:pt>
                <c:pt idx="17">
                  <c:v>0</c:v>
                </c:pt>
                <c:pt idx="18">
                  <c:v>260</c:v>
                </c:pt>
                <c:pt idx="19">
                  <c:v>0</c:v>
                </c:pt>
                <c:pt idx="20">
                  <c:v>165</c:v>
                </c:pt>
                <c:pt idx="21">
                  <c:v>0</c:v>
                </c:pt>
                <c:pt idx="22">
                  <c:v>305</c:v>
                </c:pt>
                <c:pt idx="23">
                  <c:v>471</c:v>
                </c:pt>
                <c:pt idx="24">
                  <c:v>146</c:v>
                </c:pt>
                <c:pt idx="25">
                  <c:v>321</c:v>
                </c:pt>
                <c:pt idx="26">
                  <c:v>110</c:v>
                </c:pt>
                <c:pt idx="27">
                  <c:v>515</c:v>
                </c:pt>
                <c:pt idx="28">
                  <c:v>0</c:v>
                </c:pt>
                <c:pt idx="29">
                  <c:v>0</c:v>
                </c:pt>
                <c:pt idx="30">
                  <c:v>820</c:v>
                </c:pt>
                <c:pt idx="31">
                  <c:v>596</c:v>
                </c:pt>
                <c:pt idx="32">
                  <c:v>0</c:v>
                </c:pt>
              </c:numCache>
            </c:numRef>
          </c:val>
          <c:extLst>
            <c:ext xmlns:c16="http://schemas.microsoft.com/office/drawing/2014/chart" uri="{C3380CC4-5D6E-409C-BE32-E72D297353CC}">
              <c16:uniqueId val="{00000000-FC33-464F-8534-782A96BBAD1E}"/>
            </c:ext>
          </c:extLst>
        </c:ser>
        <c:dLbls>
          <c:showLegendKey val="0"/>
          <c:showVal val="0"/>
          <c:showCatName val="0"/>
          <c:showSerName val="0"/>
          <c:showPercent val="0"/>
          <c:showBubbleSize val="0"/>
        </c:dLbls>
        <c:gapWidth val="219"/>
        <c:overlap val="-27"/>
        <c:axId val="675280223"/>
        <c:axId val="675278783"/>
      </c:barChart>
      <c:catAx>
        <c:axId val="67528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78783"/>
        <c:crosses val="autoZero"/>
        <c:auto val="1"/>
        <c:lblAlgn val="ctr"/>
        <c:lblOffset val="100"/>
        <c:noMultiLvlLbl val="0"/>
      </c:catAx>
      <c:valAx>
        <c:axId val="67527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28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Dashboard.xlsx]Player Summary!PivotTable12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Summary'!$V$3</c:f>
              <c:strCache>
                <c:ptCount val="1"/>
                <c:pt idx="0">
                  <c:v>Total</c:v>
                </c:pt>
              </c:strCache>
            </c:strRef>
          </c:tx>
          <c:spPr>
            <a:solidFill>
              <a:schemeClr val="accent1"/>
            </a:solidFill>
            <a:ln>
              <a:noFill/>
            </a:ln>
            <a:effectLst/>
          </c:spPr>
          <c:invertIfNegative val="0"/>
          <c:cat>
            <c:strRef>
              <c:f>'Player Summary'!$U$4:$U$37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Summary'!$V$4:$V$37</c:f>
              <c:numCache>
                <c:formatCode>General</c:formatCode>
                <c:ptCount val="33"/>
                <c:pt idx="0">
                  <c:v>0</c:v>
                </c:pt>
                <c:pt idx="1">
                  <c:v>11</c:v>
                </c:pt>
                <c:pt idx="2">
                  <c:v>14</c:v>
                </c:pt>
                <c:pt idx="3">
                  <c:v>7</c:v>
                </c:pt>
                <c:pt idx="4">
                  <c:v>3</c:v>
                </c:pt>
                <c:pt idx="5">
                  <c:v>0</c:v>
                </c:pt>
                <c:pt idx="6">
                  <c:v>0</c:v>
                </c:pt>
                <c:pt idx="7">
                  <c:v>15</c:v>
                </c:pt>
                <c:pt idx="8">
                  <c:v>0</c:v>
                </c:pt>
                <c:pt idx="9">
                  <c:v>0</c:v>
                </c:pt>
                <c:pt idx="10">
                  <c:v>5</c:v>
                </c:pt>
                <c:pt idx="11">
                  <c:v>0</c:v>
                </c:pt>
                <c:pt idx="12">
                  <c:v>0</c:v>
                </c:pt>
                <c:pt idx="13">
                  <c:v>14</c:v>
                </c:pt>
                <c:pt idx="14">
                  <c:v>0</c:v>
                </c:pt>
                <c:pt idx="15">
                  <c:v>0</c:v>
                </c:pt>
                <c:pt idx="16">
                  <c:v>6</c:v>
                </c:pt>
                <c:pt idx="17">
                  <c:v>9</c:v>
                </c:pt>
                <c:pt idx="18">
                  <c:v>0</c:v>
                </c:pt>
                <c:pt idx="19">
                  <c:v>3</c:v>
                </c:pt>
                <c:pt idx="20">
                  <c:v>0</c:v>
                </c:pt>
                <c:pt idx="21">
                  <c:v>7</c:v>
                </c:pt>
                <c:pt idx="22">
                  <c:v>0</c:v>
                </c:pt>
                <c:pt idx="23">
                  <c:v>0</c:v>
                </c:pt>
                <c:pt idx="24">
                  <c:v>14</c:v>
                </c:pt>
                <c:pt idx="25">
                  <c:v>0</c:v>
                </c:pt>
                <c:pt idx="26">
                  <c:v>0</c:v>
                </c:pt>
                <c:pt idx="27">
                  <c:v>0</c:v>
                </c:pt>
                <c:pt idx="28">
                  <c:v>12</c:v>
                </c:pt>
                <c:pt idx="29">
                  <c:v>15</c:v>
                </c:pt>
                <c:pt idx="30">
                  <c:v>0</c:v>
                </c:pt>
                <c:pt idx="31">
                  <c:v>0</c:v>
                </c:pt>
                <c:pt idx="32">
                  <c:v>5</c:v>
                </c:pt>
              </c:numCache>
            </c:numRef>
          </c:val>
          <c:extLst>
            <c:ext xmlns:c16="http://schemas.microsoft.com/office/drawing/2014/chart" uri="{C3380CC4-5D6E-409C-BE32-E72D297353CC}">
              <c16:uniqueId val="{00000000-7EFC-45E3-A964-F26D58188EE6}"/>
            </c:ext>
          </c:extLst>
        </c:ser>
        <c:dLbls>
          <c:showLegendKey val="0"/>
          <c:showVal val="0"/>
          <c:showCatName val="0"/>
          <c:showSerName val="0"/>
          <c:showPercent val="0"/>
          <c:showBubbleSize val="0"/>
        </c:dLbls>
        <c:gapWidth val="219"/>
        <c:overlap val="-27"/>
        <c:axId val="979603471"/>
        <c:axId val="979600591"/>
      </c:barChart>
      <c:catAx>
        <c:axId val="97960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00591"/>
        <c:crosses val="autoZero"/>
        <c:auto val="1"/>
        <c:lblAlgn val="ctr"/>
        <c:lblOffset val="100"/>
        <c:noMultiLvlLbl val="0"/>
      </c:catAx>
      <c:valAx>
        <c:axId val="97960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0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Dashboard.xlsx]Player Summary!PivotTable13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'Player Summary'!$B$40</c:f>
              <c:strCache>
                <c:ptCount val="1"/>
                <c:pt idx="0">
                  <c:v>Strike Rate</c:v>
                </c:pt>
              </c:strCache>
            </c:strRef>
          </c:tx>
          <c:spPr>
            <a:solidFill>
              <a:schemeClr val="accent1"/>
            </a:solidFill>
            <a:ln>
              <a:noFill/>
            </a:ln>
            <a:effectLst/>
          </c:spPr>
          <c:cat>
            <c:strRef>
              <c:f>'Player Summary'!$A$41:$A$74</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Summary'!$B$41:$B$74</c:f>
              <c:numCache>
                <c:formatCode>General</c:formatCode>
                <c:ptCount val="33"/>
                <c:pt idx="0">
                  <c:v>1004.92</c:v>
                </c:pt>
                <c:pt idx="1">
                  <c:v>1145.28</c:v>
                </c:pt>
                <c:pt idx="2">
                  <c:v>0</c:v>
                </c:pt>
                <c:pt idx="3">
                  <c:v>0</c:v>
                </c:pt>
                <c:pt idx="4">
                  <c:v>0</c:v>
                </c:pt>
                <c:pt idx="5">
                  <c:v>623.80999999999995</c:v>
                </c:pt>
                <c:pt idx="6">
                  <c:v>180</c:v>
                </c:pt>
                <c:pt idx="7">
                  <c:v>0</c:v>
                </c:pt>
                <c:pt idx="8">
                  <c:v>200</c:v>
                </c:pt>
                <c:pt idx="9">
                  <c:v>370</c:v>
                </c:pt>
                <c:pt idx="10">
                  <c:v>476.67</c:v>
                </c:pt>
                <c:pt idx="11">
                  <c:v>1334.32</c:v>
                </c:pt>
                <c:pt idx="12">
                  <c:v>637.62</c:v>
                </c:pt>
                <c:pt idx="13">
                  <c:v>0</c:v>
                </c:pt>
                <c:pt idx="14">
                  <c:v>166.67</c:v>
                </c:pt>
                <c:pt idx="15">
                  <c:v>1213.9100000000001</c:v>
                </c:pt>
                <c:pt idx="16">
                  <c:v>0</c:v>
                </c:pt>
                <c:pt idx="17">
                  <c:v>0</c:v>
                </c:pt>
                <c:pt idx="18">
                  <c:v>645.84</c:v>
                </c:pt>
                <c:pt idx="19">
                  <c:v>0</c:v>
                </c:pt>
                <c:pt idx="20">
                  <c:v>521.42999999999995</c:v>
                </c:pt>
                <c:pt idx="21">
                  <c:v>0</c:v>
                </c:pt>
                <c:pt idx="22">
                  <c:v>708.97</c:v>
                </c:pt>
                <c:pt idx="23">
                  <c:v>1250.04</c:v>
                </c:pt>
                <c:pt idx="24">
                  <c:v>1101.67</c:v>
                </c:pt>
                <c:pt idx="25">
                  <c:v>688.89</c:v>
                </c:pt>
                <c:pt idx="26">
                  <c:v>338.1</c:v>
                </c:pt>
                <c:pt idx="27">
                  <c:v>1155.68</c:v>
                </c:pt>
                <c:pt idx="28">
                  <c:v>0</c:v>
                </c:pt>
                <c:pt idx="29">
                  <c:v>0</c:v>
                </c:pt>
                <c:pt idx="30">
                  <c:v>1706.32</c:v>
                </c:pt>
                <c:pt idx="31">
                  <c:v>1349.96</c:v>
                </c:pt>
                <c:pt idx="32">
                  <c:v>0</c:v>
                </c:pt>
              </c:numCache>
            </c:numRef>
          </c:val>
          <c:extLst>
            <c:ext xmlns:c16="http://schemas.microsoft.com/office/drawing/2014/chart" uri="{C3380CC4-5D6E-409C-BE32-E72D297353CC}">
              <c16:uniqueId val="{00000000-233C-4164-8308-13403F7DA0F8}"/>
            </c:ext>
          </c:extLst>
        </c:ser>
        <c:ser>
          <c:idx val="1"/>
          <c:order val="1"/>
          <c:tx>
            <c:strRef>
              <c:f>'Player Summary'!$C$40</c:f>
              <c:strCache>
                <c:ptCount val="1"/>
                <c:pt idx="0">
                  <c:v>PlayerAvgStrikeRate</c:v>
                </c:pt>
              </c:strCache>
            </c:strRef>
          </c:tx>
          <c:spPr>
            <a:solidFill>
              <a:schemeClr val="accent2"/>
            </a:solidFill>
            <a:ln>
              <a:noFill/>
            </a:ln>
            <a:effectLst/>
          </c:spPr>
          <c:cat>
            <c:strRef>
              <c:f>'Player Summary'!$A$41:$A$74</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Summary'!$C$41:$C$74</c:f>
              <c:numCache>
                <c:formatCode>0.00</c:formatCode>
                <c:ptCount val="33"/>
                <c:pt idx="0">
                  <c:v>167.48666666666665</c:v>
                </c:pt>
                <c:pt idx="1">
                  <c:v>190.88</c:v>
                </c:pt>
                <c:pt idx="2">
                  <c:v>0</c:v>
                </c:pt>
                <c:pt idx="3">
                  <c:v>0</c:v>
                </c:pt>
                <c:pt idx="4">
                  <c:v>0</c:v>
                </c:pt>
                <c:pt idx="5">
                  <c:v>155.95249999999999</c:v>
                </c:pt>
                <c:pt idx="6">
                  <c:v>180</c:v>
                </c:pt>
                <c:pt idx="7">
                  <c:v>0</c:v>
                </c:pt>
                <c:pt idx="8">
                  <c:v>200</c:v>
                </c:pt>
                <c:pt idx="9">
                  <c:v>185</c:v>
                </c:pt>
                <c:pt idx="10">
                  <c:v>158.89000000000001</c:v>
                </c:pt>
                <c:pt idx="11">
                  <c:v>190.61714285714285</c:v>
                </c:pt>
                <c:pt idx="12">
                  <c:v>159.405</c:v>
                </c:pt>
                <c:pt idx="13">
                  <c:v>0</c:v>
                </c:pt>
                <c:pt idx="14">
                  <c:v>166.67</c:v>
                </c:pt>
                <c:pt idx="15">
                  <c:v>173.4157142857143</c:v>
                </c:pt>
                <c:pt idx="16">
                  <c:v>0</c:v>
                </c:pt>
                <c:pt idx="17">
                  <c:v>0</c:v>
                </c:pt>
                <c:pt idx="18">
                  <c:v>161.46</c:v>
                </c:pt>
                <c:pt idx="19">
                  <c:v>0</c:v>
                </c:pt>
                <c:pt idx="20">
                  <c:v>173.80999999999997</c:v>
                </c:pt>
                <c:pt idx="21">
                  <c:v>0</c:v>
                </c:pt>
                <c:pt idx="22">
                  <c:v>177.24250000000001</c:v>
                </c:pt>
                <c:pt idx="23">
                  <c:v>178.57714285714286</c:v>
                </c:pt>
                <c:pt idx="24">
                  <c:v>183.61166666666668</c:v>
                </c:pt>
                <c:pt idx="25">
                  <c:v>172.2225</c:v>
                </c:pt>
                <c:pt idx="26">
                  <c:v>169.05</c:v>
                </c:pt>
                <c:pt idx="27">
                  <c:v>165.09714285714287</c:v>
                </c:pt>
                <c:pt idx="28">
                  <c:v>0</c:v>
                </c:pt>
                <c:pt idx="29">
                  <c:v>0</c:v>
                </c:pt>
                <c:pt idx="30">
                  <c:v>170.63200000000001</c:v>
                </c:pt>
                <c:pt idx="31">
                  <c:v>168.745</c:v>
                </c:pt>
                <c:pt idx="32">
                  <c:v>0</c:v>
                </c:pt>
              </c:numCache>
            </c:numRef>
          </c:val>
          <c:extLst>
            <c:ext xmlns:c16="http://schemas.microsoft.com/office/drawing/2014/chart" uri="{C3380CC4-5D6E-409C-BE32-E72D297353CC}">
              <c16:uniqueId val="{00000001-233C-4164-8308-13403F7DA0F8}"/>
            </c:ext>
          </c:extLst>
        </c:ser>
        <c:dLbls>
          <c:showLegendKey val="0"/>
          <c:showVal val="0"/>
          <c:showCatName val="0"/>
          <c:showSerName val="0"/>
          <c:showPercent val="0"/>
          <c:showBubbleSize val="0"/>
        </c:dLbls>
        <c:axId val="788561599"/>
        <c:axId val="788560639"/>
      </c:areaChart>
      <c:catAx>
        <c:axId val="788561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560639"/>
        <c:crosses val="autoZero"/>
        <c:auto val="1"/>
        <c:lblAlgn val="ctr"/>
        <c:lblOffset val="100"/>
        <c:noMultiLvlLbl val="0"/>
      </c:catAx>
      <c:valAx>
        <c:axId val="78856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5615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Dashboard.xlsx]Player Summary!PivotTable14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'Player Summary'!$Q$40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29-4D1D-943C-55F3FE7FA7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29-4D1D-943C-55F3FE7FA7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29-4D1D-943C-55F3FE7FA7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29-4D1D-943C-55F3FE7FA7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29-4D1D-943C-55F3FE7FA7F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C29-4D1D-943C-55F3FE7FA7F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C29-4D1D-943C-55F3FE7FA7F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C29-4D1D-943C-55F3FE7FA7F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C29-4D1D-943C-55F3FE7FA7F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C29-4D1D-943C-55F3FE7FA7F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C29-4D1D-943C-55F3FE7FA7F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C29-4D1D-943C-55F3FE7FA7F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C29-4D1D-943C-55F3FE7FA7F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C29-4D1D-943C-55F3FE7FA7F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C29-4D1D-943C-55F3FE7FA7F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C29-4D1D-943C-55F3FE7FA7F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C29-4D1D-943C-55F3FE7FA7F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C29-4D1D-943C-55F3FE7FA7F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C29-4D1D-943C-55F3FE7FA7F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C29-4D1D-943C-55F3FE7FA7F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AC29-4D1D-943C-55F3FE7FA7F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AC29-4D1D-943C-55F3FE7FA7F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AC29-4D1D-943C-55F3FE7FA7F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AC29-4D1D-943C-55F3FE7FA7F1}"/>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AC29-4D1D-943C-55F3FE7FA7F1}"/>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AC29-4D1D-943C-55F3FE7FA7F1}"/>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AC29-4D1D-943C-55F3FE7FA7F1}"/>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AC29-4D1D-943C-55F3FE7FA7F1}"/>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AC29-4D1D-943C-55F3FE7FA7F1}"/>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AC29-4D1D-943C-55F3FE7FA7F1}"/>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AC29-4D1D-943C-55F3FE7FA7F1}"/>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AC29-4D1D-943C-55F3FE7FA7F1}"/>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AC29-4D1D-943C-55F3FE7FA7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 Summary'!$P$41:$P$74</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Summary'!$Q$41:$Q$74</c:f>
              <c:numCache>
                <c:formatCode>General</c:formatCode>
                <c:ptCount val="33"/>
                <c:pt idx="0">
                  <c:v>0</c:v>
                </c:pt>
                <c:pt idx="1">
                  <c:v>54</c:v>
                </c:pt>
                <c:pt idx="2">
                  <c:v>33.5</c:v>
                </c:pt>
                <c:pt idx="3">
                  <c:v>16.75</c:v>
                </c:pt>
                <c:pt idx="4">
                  <c:v>14.5</c:v>
                </c:pt>
                <c:pt idx="5">
                  <c:v>0</c:v>
                </c:pt>
                <c:pt idx="6">
                  <c:v>0</c:v>
                </c:pt>
                <c:pt idx="7">
                  <c:v>38.25</c:v>
                </c:pt>
                <c:pt idx="8">
                  <c:v>0</c:v>
                </c:pt>
                <c:pt idx="9">
                  <c:v>0</c:v>
                </c:pt>
                <c:pt idx="10">
                  <c:v>22.5</c:v>
                </c:pt>
                <c:pt idx="11">
                  <c:v>0</c:v>
                </c:pt>
                <c:pt idx="12">
                  <c:v>0</c:v>
                </c:pt>
                <c:pt idx="13">
                  <c:v>31.5</c:v>
                </c:pt>
                <c:pt idx="14">
                  <c:v>0</c:v>
                </c:pt>
                <c:pt idx="15">
                  <c:v>0</c:v>
                </c:pt>
                <c:pt idx="16">
                  <c:v>19.25</c:v>
                </c:pt>
                <c:pt idx="17">
                  <c:v>16.75</c:v>
                </c:pt>
                <c:pt idx="18">
                  <c:v>0</c:v>
                </c:pt>
                <c:pt idx="19">
                  <c:v>5.25</c:v>
                </c:pt>
                <c:pt idx="20">
                  <c:v>0</c:v>
                </c:pt>
                <c:pt idx="21">
                  <c:v>21.25</c:v>
                </c:pt>
                <c:pt idx="22">
                  <c:v>0</c:v>
                </c:pt>
                <c:pt idx="23">
                  <c:v>0</c:v>
                </c:pt>
                <c:pt idx="24">
                  <c:v>36.75</c:v>
                </c:pt>
                <c:pt idx="25">
                  <c:v>0</c:v>
                </c:pt>
                <c:pt idx="26">
                  <c:v>0</c:v>
                </c:pt>
                <c:pt idx="27">
                  <c:v>0</c:v>
                </c:pt>
                <c:pt idx="28">
                  <c:v>20.75</c:v>
                </c:pt>
                <c:pt idx="29">
                  <c:v>29.61</c:v>
                </c:pt>
                <c:pt idx="30">
                  <c:v>0</c:v>
                </c:pt>
                <c:pt idx="31">
                  <c:v>0</c:v>
                </c:pt>
                <c:pt idx="32">
                  <c:v>12.5</c:v>
                </c:pt>
              </c:numCache>
            </c:numRef>
          </c:val>
          <c:extLst>
            <c:ext xmlns:c16="http://schemas.microsoft.com/office/drawing/2014/chart" uri="{C3380CC4-5D6E-409C-BE32-E72D297353CC}">
              <c16:uniqueId val="{00000000-6516-47C5-A351-77ABCCE7B79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2.sv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664880</xdr:colOff>
      <xdr:row>13</xdr:row>
      <xdr:rowOff>175259</xdr:rowOff>
    </xdr:from>
    <xdr:to>
      <xdr:col>12</xdr:col>
      <xdr:colOff>7897</xdr:colOff>
      <xdr:row>26</xdr:row>
      <xdr:rowOff>3947</xdr:rowOff>
    </xdr:to>
    <xdr:graphicFrame macro="">
      <xdr:nvGraphicFramePr>
        <xdr:cNvPr id="2" name="Chart 1">
          <a:extLst>
            <a:ext uri="{FF2B5EF4-FFF2-40B4-BE49-F238E27FC236}">
              <a16:creationId xmlns:a16="http://schemas.microsoft.com/office/drawing/2014/main" id="{91E68A0F-4A16-D1B2-486E-BCB1D5D82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13251</xdr:colOff>
      <xdr:row>13</xdr:row>
      <xdr:rowOff>10027</xdr:rowOff>
    </xdr:from>
    <xdr:to>
      <xdr:col>18</xdr:col>
      <xdr:colOff>44730</xdr:colOff>
      <xdr:row>26</xdr:row>
      <xdr:rowOff>10027</xdr:rowOff>
    </xdr:to>
    <xdr:graphicFrame macro="">
      <xdr:nvGraphicFramePr>
        <xdr:cNvPr id="3" name="Chart 2">
          <a:extLst>
            <a:ext uri="{FF2B5EF4-FFF2-40B4-BE49-F238E27FC236}">
              <a16:creationId xmlns:a16="http://schemas.microsoft.com/office/drawing/2014/main" id="{98B5DD1A-9195-26E5-1EE9-85DDA4B22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10025</xdr:colOff>
      <xdr:row>2</xdr:row>
      <xdr:rowOff>2005</xdr:rowOff>
    </xdr:from>
    <xdr:to>
      <xdr:col>12</xdr:col>
      <xdr:colOff>393432</xdr:colOff>
      <xdr:row>11</xdr:row>
      <xdr:rowOff>180472</xdr:rowOff>
    </xdr:to>
    <xdr:graphicFrame macro="">
      <xdr:nvGraphicFramePr>
        <xdr:cNvPr id="4" name="Chart 3">
          <a:extLst>
            <a:ext uri="{FF2B5EF4-FFF2-40B4-BE49-F238E27FC236}">
              <a16:creationId xmlns:a16="http://schemas.microsoft.com/office/drawing/2014/main" id="{68ABAFF4-55ED-F7E2-F732-3EE4076A3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600635</xdr:colOff>
      <xdr:row>6</xdr:row>
      <xdr:rowOff>184078</xdr:rowOff>
    </xdr:from>
    <xdr:to>
      <xdr:col>16</xdr:col>
      <xdr:colOff>603607</xdr:colOff>
      <xdr:row>11</xdr:row>
      <xdr:rowOff>175516</xdr:rowOff>
    </xdr:to>
    <xdr:sp macro="" textlink="">
      <xdr:nvSpPr>
        <xdr:cNvPr id="9" name="Flowchart: Process 8">
          <a:extLst>
            <a:ext uri="{FF2B5EF4-FFF2-40B4-BE49-F238E27FC236}">
              <a16:creationId xmlns:a16="http://schemas.microsoft.com/office/drawing/2014/main" id="{C5009D15-80BF-8CDD-01E6-FDD0399A4D1A}"/>
            </a:ext>
          </a:extLst>
        </xdr:cNvPr>
        <xdr:cNvSpPr/>
      </xdr:nvSpPr>
      <xdr:spPr>
        <a:xfrm>
          <a:off x="8503174" y="1288550"/>
          <a:ext cx="1826635" cy="911831"/>
        </a:xfrm>
        <a:prstGeom prst="flowChartProcess">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7</xdr:row>
      <xdr:rowOff>14407</xdr:rowOff>
    </xdr:from>
    <xdr:to>
      <xdr:col>8</xdr:col>
      <xdr:colOff>321585</xdr:colOff>
      <xdr:row>19</xdr:row>
      <xdr:rowOff>457</xdr:rowOff>
    </xdr:to>
    <xdr:graphicFrame macro="">
      <xdr:nvGraphicFramePr>
        <xdr:cNvPr id="2" name="Chart 1">
          <a:extLst>
            <a:ext uri="{FF2B5EF4-FFF2-40B4-BE49-F238E27FC236}">
              <a16:creationId xmlns:a16="http://schemas.microsoft.com/office/drawing/2014/main" id="{243E1C01-8B19-4705-9833-B5707BEB3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6275</xdr:rowOff>
    </xdr:from>
    <xdr:to>
      <xdr:col>8</xdr:col>
      <xdr:colOff>312420</xdr:colOff>
      <xdr:row>33</xdr:row>
      <xdr:rowOff>177949</xdr:rowOff>
    </xdr:to>
    <xdr:graphicFrame macro="">
      <xdr:nvGraphicFramePr>
        <xdr:cNvPr id="3" name="Chart 2">
          <a:extLst>
            <a:ext uri="{FF2B5EF4-FFF2-40B4-BE49-F238E27FC236}">
              <a16:creationId xmlns:a16="http://schemas.microsoft.com/office/drawing/2014/main" id="{D2D21E9B-6954-4878-BB0D-4E05651F5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3841</xdr:colOff>
      <xdr:row>20</xdr:row>
      <xdr:rowOff>163286</xdr:rowOff>
    </xdr:from>
    <xdr:to>
      <xdr:col>12</xdr:col>
      <xdr:colOff>605821</xdr:colOff>
      <xdr:row>33</xdr:row>
      <xdr:rowOff>178526</xdr:rowOff>
    </xdr:to>
    <xdr:graphicFrame macro="">
      <xdr:nvGraphicFramePr>
        <xdr:cNvPr id="4" name="Chart 3">
          <a:extLst>
            <a:ext uri="{FF2B5EF4-FFF2-40B4-BE49-F238E27FC236}">
              <a16:creationId xmlns:a16="http://schemas.microsoft.com/office/drawing/2014/main" id="{99331F05-5E68-4BDE-AD10-F8EF5228F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601405</xdr:colOff>
      <xdr:row>6</xdr:row>
      <xdr:rowOff>91694</xdr:rowOff>
    </xdr:from>
    <xdr:to>
      <xdr:col>12</xdr:col>
      <xdr:colOff>601405</xdr:colOff>
      <xdr:row>20</xdr:row>
      <xdr:rowOff>4114</xdr:rowOff>
    </xdr:to>
    <mc:AlternateContent xmlns:mc="http://schemas.openxmlformats.org/markup-compatibility/2006" xmlns:a14="http://schemas.microsoft.com/office/drawing/2010/main">
      <mc:Choice Requires="a14">
        <xdr:graphicFrame macro="">
          <xdr:nvGraphicFramePr>
            <xdr:cNvPr id="5" name="Team_Name">
              <a:extLst>
                <a:ext uri="{FF2B5EF4-FFF2-40B4-BE49-F238E27FC236}">
                  <a16:creationId xmlns:a16="http://schemas.microsoft.com/office/drawing/2014/main" id="{83C51F7D-9F6C-4FDB-99C3-04D1BE1F20BC}"/>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6103754" y="1208113"/>
              <a:ext cx="1834116" cy="2517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468087</xdr:colOff>
      <xdr:row>0</xdr:row>
      <xdr:rowOff>76199</xdr:rowOff>
    </xdr:from>
    <xdr:to>
      <xdr:col>10</xdr:col>
      <xdr:colOff>266920</xdr:colOff>
      <xdr:row>6</xdr:row>
      <xdr:rowOff>107575</xdr:rowOff>
    </xdr:to>
    <xdr:pic>
      <xdr:nvPicPr>
        <xdr:cNvPr id="7" name="Graphic 6">
          <a:extLst>
            <a:ext uri="{FF2B5EF4-FFF2-40B4-BE49-F238E27FC236}">
              <a16:creationId xmlns:a16="http://schemas.microsoft.com/office/drawing/2014/main" id="{17EEBE24-CDCF-4D2F-58F6-CDF68AC011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125687" y="76199"/>
          <a:ext cx="2237233" cy="1107141"/>
        </a:xfrm>
        <a:prstGeom prst="rect">
          <a:avLst/>
        </a:prstGeom>
      </xdr:spPr>
    </xdr:pic>
    <xdr:clientData/>
  </xdr:twoCellAnchor>
  <xdr:twoCellAnchor>
    <xdr:from>
      <xdr:col>13</xdr:col>
      <xdr:colOff>600635</xdr:colOff>
      <xdr:row>13</xdr:row>
      <xdr:rowOff>184078</xdr:rowOff>
    </xdr:from>
    <xdr:to>
      <xdr:col>16</xdr:col>
      <xdr:colOff>603607</xdr:colOff>
      <xdr:row>18</xdr:row>
      <xdr:rowOff>175516</xdr:rowOff>
    </xdr:to>
    <xdr:sp macro="" textlink="">
      <xdr:nvSpPr>
        <xdr:cNvPr id="12" name="Flowchart: Process 11">
          <a:extLst>
            <a:ext uri="{FF2B5EF4-FFF2-40B4-BE49-F238E27FC236}">
              <a16:creationId xmlns:a16="http://schemas.microsoft.com/office/drawing/2014/main" id="{28FDF602-A8CF-4B89-8D2E-5B4C3970B0C0}"/>
            </a:ext>
          </a:extLst>
        </xdr:cNvPr>
        <xdr:cNvSpPr/>
      </xdr:nvSpPr>
      <xdr:spPr>
        <a:xfrm>
          <a:off x="8491855" y="1268959"/>
          <a:ext cx="1824023" cy="895506"/>
        </a:xfrm>
        <a:prstGeom prst="flowChartProcess">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600635</xdr:colOff>
      <xdr:row>20</xdr:row>
      <xdr:rowOff>184078</xdr:rowOff>
    </xdr:from>
    <xdr:to>
      <xdr:col>16</xdr:col>
      <xdr:colOff>603607</xdr:colOff>
      <xdr:row>25</xdr:row>
      <xdr:rowOff>175516</xdr:rowOff>
    </xdr:to>
    <xdr:sp macro="" textlink="">
      <xdr:nvSpPr>
        <xdr:cNvPr id="13" name="Flowchart: Process 12">
          <a:extLst>
            <a:ext uri="{FF2B5EF4-FFF2-40B4-BE49-F238E27FC236}">
              <a16:creationId xmlns:a16="http://schemas.microsoft.com/office/drawing/2014/main" id="{67B05652-4814-4DF0-9B54-321C9D20BE06}"/>
            </a:ext>
          </a:extLst>
        </xdr:cNvPr>
        <xdr:cNvSpPr/>
      </xdr:nvSpPr>
      <xdr:spPr>
        <a:xfrm>
          <a:off x="8491855" y="1268959"/>
          <a:ext cx="1824023" cy="895506"/>
        </a:xfrm>
        <a:prstGeom prst="flowChartProcess">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600635</xdr:colOff>
      <xdr:row>27</xdr:row>
      <xdr:rowOff>184078</xdr:rowOff>
    </xdr:from>
    <xdr:to>
      <xdr:col>16</xdr:col>
      <xdr:colOff>603607</xdr:colOff>
      <xdr:row>32</xdr:row>
      <xdr:rowOff>175516</xdr:rowOff>
    </xdr:to>
    <xdr:sp macro="" textlink="">
      <xdr:nvSpPr>
        <xdr:cNvPr id="14" name="Flowchart: Process 13">
          <a:extLst>
            <a:ext uri="{FF2B5EF4-FFF2-40B4-BE49-F238E27FC236}">
              <a16:creationId xmlns:a16="http://schemas.microsoft.com/office/drawing/2014/main" id="{FB01737A-A5A8-4D28-964D-F1E85285D6B3}"/>
            </a:ext>
          </a:extLst>
        </xdr:cNvPr>
        <xdr:cNvSpPr/>
      </xdr:nvSpPr>
      <xdr:spPr>
        <a:xfrm>
          <a:off x="8491855" y="1268959"/>
          <a:ext cx="1824023" cy="895506"/>
        </a:xfrm>
        <a:prstGeom prst="flowChartProcess">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20</xdr:row>
      <xdr:rowOff>72571</xdr:rowOff>
    </xdr:from>
    <xdr:to>
      <xdr:col>12</xdr:col>
      <xdr:colOff>190500</xdr:colOff>
      <xdr:row>43</xdr:row>
      <xdr:rowOff>57512</xdr:rowOff>
    </xdr:to>
    <xdr:graphicFrame macro="">
      <xdr:nvGraphicFramePr>
        <xdr:cNvPr id="2" name="Chart 1">
          <a:extLst>
            <a:ext uri="{FF2B5EF4-FFF2-40B4-BE49-F238E27FC236}">
              <a16:creationId xmlns:a16="http://schemas.microsoft.com/office/drawing/2014/main" id="{885F7253-072F-4124-9434-C9DE7EC05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186612</xdr:colOff>
      <xdr:row>45</xdr:row>
      <xdr:rowOff>93306</xdr:rowOff>
    </xdr:from>
    <xdr:to>
      <xdr:col>20</xdr:col>
      <xdr:colOff>421189</xdr:colOff>
      <xdr:row>60</xdr:row>
      <xdr:rowOff>34407</xdr:rowOff>
    </xdr:to>
    <xdr:graphicFrame macro="">
      <xdr:nvGraphicFramePr>
        <xdr:cNvPr id="3" name="Chart 2">
          <a:extLst>
            <a:ext uri="{FF2B5EF4-FFF2-40B4-BE49-F238E27FC236}">
              <a16:creationId xmlns:a16="http://schemas.microsoft.com/office/drawing/2014/main" id="{2009E089-0129-4466-B520-D0C95915A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25</xdr:row>
      <xdr:rowOff>0</xdr:rowOff>
    </xdr:from>
    <xdr:to>
      <xdr:col>25</xdr:col>
      <xdr:colOff>134816</xdr:colOff>
      <xdr:row>39</xdr:row>
      <xdr:rowOff>105507</xdr:rowOff>
    </xdr:to>
    <xdr:graphicFrame macro="">
      <xdr:nvGraphicFramePr>
        <xdr:cNvPr id="4" name="Chart 3">
          <a:extLst>
            <a:ext uri="{FF2B5EF4-FFF2-40B4-BE49-F238E27FC236}">
              <a16:creationId xmlns:a16="http://schemas.microsoft.com/office/drawing/2014/main" id="{E0137206-718F-4229-99E7-52CE5983E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5</xdr:row>
      <xdr:rowOff>0</xdr:rowOff>
    </xdr:from>
    <xdr:to>
      <xdr:col>23</xdr:col>
      <xdr:colOff>238014</xdr:colOff>
      <xdr:row>19</xdr:row>
      <xdr:rowOff>148137</xdr:rowOff>
    </xdr:to>
    <xdr:graphicFrame macro="">
      <xdr:nvGraphicFramePr>
        <xdr:cNvPr id="5" name="Chart 4">
          <a:extLst>
            <a:ext uri="{FF2B5EF4-FFF2-40B4-BE49-F238E27FC236}">
              <a16:creationId xmlns:a16="http://schemas.microsoft.com/office/drawing/2014/main" id="{536B895D-1E61-470C-8A9B-74A9FAFC6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157238</xdr:colOff>
      <xdr:row>0</xdr:row>
      <xdr:rowOff>96762</xdr:rowOff>
    </xdr:from>
    <xdr:to>
      <xdr:col>12</xdr:col>
      <xdr:colOff>587273</xdr:colOff>
      <xdr:row>6</xdr:row>
      <xdr:rowOff>155986</xdr:rowOff>
    </xdr:to>
    <xdr:pic>
      <xdr:nvPicPr>
        <xdr:cNvPr id="10" name="Graphic 9">
          <a:extLst>
            <a:ext uri="{FF2B5EF4-FFF2-40B4-BE49-F238E27FC236}">
              <a16:creationId xmlns:a16="http://schemas.microsoft.com/office/drawing/2014/main" id="{1F38C3D3-8E91-4000-998B-F8261BD2395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600095" y="96762"/>
          <a:ext cx="2244321" cy="11477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1</xdr:row>
      <xdr:rowOff>174812</xdr:rowOff>
    </xdr:from>
    <xdr:to>
      <xdr:col>18</xdr:col>
      <xdr:colOff>336177</xdr:colOff>
      <xdr:row>17</xdr:row>
      <xdr:rowOff>49306</xdr:rowOff>
    </xdr:to>
    <xdr:graphicFrame macro="">
      <xdr:nvGraphicFramePr>
        <xdr:cNvPr id="3" name="Chart 2">
          <a:extLst>
            <a:ext uri="{FF2B5EF4-FFF2-40B4-BE49-F238E27FC236}">
              <a16:creationId xmlns:a16="http://schemas.microsoft.com/office/drawing/2014/main" id="{F740425B-9999-E0FE-BFF7-B7E5933DC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310661</xdr:colOff>
      <xdr:row>18</xdr:row>
      <xdr:rowOff>181708</xdr:rowOff>
    </xdr:from>
    <xdr:to>
      <xdr:col>19</xdr:col>
      <xdr:colOff>5861</xdr:colOff>
      <xdr:row>33</xdr:row>
      <xdr:rowOff>111369</xdr:rowOff>
    </xdr:to>
    <xdr:graphicFrame macro="">
      <xdr:nvGraphicFramePr>
        <xdr:cNvPr id="4" name="Chart 3">
          <a:extLst>
            <a:ext uri="{FF2B5EF4-FFF2-40B4-BE49-F238E27FC236}">
              <a16:creationId xmlns:a16="http://schemas.microsoft.com/office/drawing/2014/main" id="{D50F5825-EB03-C140-F850-0B7300028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838200</xdr:colOff>
      <xdr:row>38</xdr:row>
      <xdr:rowOff>172720</xdr:rowOff>
    </xdr:from>
    <xdr:to>
      <xdr:col>14</xdr:col>
      <xdr:colOff>38100</xdr:colOff>
      <xdr:row>60</xdr:row>
      <xdr:rowOff>171450</xdr:rowOff>
    </xdr:to>
    <xdr:graphicFrame macro="">
      <xdr:nvGraphicFramePr>
        <xdr:cNvPr id="5" name="Chart 4">
          <a:extLst>
            <a:ext uri="{FF2B5EF4-FFF2-40B4-BE49-F238E27FC236}">
              <a16:creationId xmlns:a16="http://schemas.microsoft.com/office/drawing/2014/main" id="{7C40F8BC-3EA0-AFCA-79DF-84BDF1BF9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132772</xdr:colOff>
      <xdr:row>39</xdr:row>
      <xdr:rowOff>135081</xdr:rowOff>
    </xdr:from>
    <xdr:to>
      <xdr:col>23</xdr:col>
      <xdr:colOff>536863</xdr:colOff>
      <xdr:row>54</xdr:row>
      <xdr:rowOff>107372</xdr:rowOff>
    </xdr:to>
    <xdr:graphicFrame macro="">
      <xdr:nvGraphicFramePr>
        <xdr:cNvPr id="6" name="Chart 5">
          <a:extLst>
            <a:ext uri="{FF2B5EF4-FFF2-40B4-BE49-F238E27FC236}">
              <a16:creationId xmlns:a16="http://schemas.microsoft.com/office/drawing/2014/main" id="{100CA566-F435-6905-3FE9-D14B29AED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8.53886064815" backgroundQuery="1" createdVersion="8" refreshedVersion="8" minRefreshableVersion="3" recordCount="0" supportSubquery="1" supportAdvancedDrill="1" xr:uid="{EC525889-375B-4002-B173-B0A96FD9666E}">
  <cacheSource type="external" connectionId="6"/>
  <cacheFields count="2">
    <cacheField name="[fact_match].[Venue_Name].[Venue_Name]" caption="Venue_Name" numFmtId="0" hierarchy="36" level="1">
      <sharedItems count="1">
        <s v="M. A. Chidambaram Stadium"/>
      </sharedItems>
    </cacheField>
    <cacheField name="[Measures].[Count of Team_ID]" caption="Count of Team_ID" numFmtId="0" hierarchy="77" level="32767"/>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0"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0"/>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Home_Win]" caption="Home_Win" attribute="1" defaultMemberUniqueName="[fact_match].[Home_Win].[All]" allUniqueName="[fact_match].[Home_Win].[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sWins]" caption="Teams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Home_Win]" caption="Count of Home_Win" measure="1" displayFolder="" measureGroup="fact_match" count="0" hidden="1">
      <extLst>
        <ext xmlns:x15="http://schemas.microsoft.com/office/spreadsheetml/2010/11/main" uri="{B97F6D7D-B522-45F9-BDA1-12C45D357490}">
          <x15:cacheHierarchy aggregatedColumn="38"/>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9"/>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6"/>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Team_ID]" caption="Count of Team_ID" measure="1" displayFolder="" measureGroup="dim_team"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Team_ID 2]" caption="Count of Team_ID 2" measure="1" displayFolder="" measureGroup="dim_player" count="0" hidden="1">
      <extLst>
        <ext xmlns:x15="http://schemas.microsoft.com/office/spreadsheetml/2010/11/main" uri="{B97F6D7D-B522-45F9-BDA1-12C45D357490}">
          <x15:cacheHierarchy aggregatedColumn="2"/>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1" dimension="1"/>
    <map measureGroup="2" dimension="2"/>
    <map measureGroup="3" dimension="0"/>
    <map measureGroup="3" dimension="1"/>
    <map measureGroup="3" dimension="2"/>
    <map measureGroup="3" dimension="3"/>
    <map measureGroup="3" dimension="4"/>
    <map measureGroup="4" dimension="0"/>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8.538861921297" backgroundQuery="1" createdVersion="8" refreshedVersion="8" minRefreshableVersion="3" recordCount="0" supportSubquery="1" supportAdvancedDrill="1" xr:uid="{9019F97E-D71B-4E79-B98C-CFA8C924AFA8}">
  <cacheSource type="external" connectionId="6"/>
  <cacheFields count="3">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Measures].[Sum of Total_Runs]" caption="Sum of Total_Runs" numFmtId="0" hierarchy="74" level="32767"/>
    <cacheField name="[fact_match].[Venue_Name].[Venue_Name]" caption="Venue_Name" numFmtId="0" hierarchy="36"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Home_Win]" caption="Home_Win" attribute="1" defaultMemberUniqueName="[fact_match].[Home_Win].[All]" allUniqueName="[fact_match].[Home_Win].[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sWins]" caption="Teams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Home_Win]" caption="Count of Home_Win" measure="1" displayFolder="" measureGroup="fact_match" count="0" hidden="1">
      <extLst>
        <ext xmlns:x15="http://schemas.microsoft.com/office/spreadsheetml/2010/11/main" uri="{B97F6D7D-B522-45F9-BDA1-12C45D357490}">
          <x15:cacheHierarchy aggregatedColumn="38"/>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6"/>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Count of Team_ID 2]" caption="Count of Team_ID 2" measure="1" displayFolder="" measureGroup="dim_player" count="0" hidden="1">
      <extLst>
        <ext xmlns:x15="http://schemas.microsoft.com/office/spreadsheetml/2010/11/main" uri="{B97F6D7D-B522-45F9-BDA1-12C45D357490}">
          <x15:cacheHierarchy aggregatedColumn="2"/>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1" dimension="1"/>
    <map measureGroup="2" dimension="2"/>
    <map measureGroup="3" dimension="0"/>
    <map measureGroup="3" dimension="1"/>
    <map measureGroup="3" dimension="2"/>
    <map measureGroup="3" dimension="3"/>
    <map measureGroup="3" dimension="4"/>
    <map measureGroup="4" dimension="0"/>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8.538861574074" backgroundQuery="1" createdVersion="8" refreshedVersion="8" minRefreshableVersion="3" recordCount="0" supportSubquery="1" supportAdvancedDrill="1" xr:uid="{AAD62AA1-D34E-4D2E-9449-90BD2A9D909C}">
  <cacheSource type="external" connectionId="6"/>
  <cacheFields count="6">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Measures].[Count of Match_ID]" caption="Count of Match_ID" numFmtId="0" hierarchy="66" level="32767"/>
    <cacheField name="[Measures].[TotalRuns]" caption="TotalRuns" numFmtId="0" hierarchy="52" level="32767"/>
    <cacheField name="[Measures].[TotalWickets]" caption="TotalWickets" numFmtId="0" hierarchy="53" level="32767"/>
    <cacheField name="[Measures].[TeamsWins]" caption="TeamsWins" numFmtId="0" hierarchy="58" level="32767"/>
    <cacheField name="[fact_match].[Venue_Name].[Venue_Name]" caption="Venue_Name" numFmtId="0" hierarchy="36"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5"/>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Home_Win]" caption="Home_Win" attribute="1" defaultMemberUniqueName="[fact_match].[Home_Win].[All]" allUniqueName="[fact_match].[Home_Win].[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2"/>
      </fieldsUsage>
    </cacheHierarchy>
    <cacheHierarchy uniqueName="[Measures].[TotalWickets]" caption="TotalWickets" measure="1" displayFolder="" measureGroup="fact_match" count="0" oneField="1">
      <fieldsUsage count="1">
        <fieldUsage x="3"/>
      </fieldsUsage>
    </cacheHierarchy>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sWins]" caption="TeamsWins" measure="1" displayFolder="" measureGroup="fact_match" count="0" oneField="1">
      <fieldsUsage count="1">
        <fieldUsage x="4"/>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Home_Win]" caption="Count of Home_Win" measure="1" displayFolder="" measureGroup="fact_match" count="0" hidden="1">
      <extLst>
        <ext xmlns:x15="http://schemas.microsoft.com/office/spreadsheetml/2010/11/main" uri="{B97F6D7D-B522-45F9-BDA1-12C45D357490}">
          <x15:cacheHierarchy aggregatedColumn="38"/>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9"/>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6"/>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Count of Team_ID 2]" caption="Count of Team_ID 2" measure="1" displayFolder="" measureGroup="dim_player" count="0" hidden="1">
      <extLst>
        <ext xmlns:x15="http://schemas.microsoft.com/office/spreadsheetml/2010/11/main" uri="{B97F6D7D-B522-45F9-BDA1-12C45D357490}">
          <x15:cacheHierarchy aggregatedColumn="2"/>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1" dimension="1"/>
    <map measureGroup="2" dimension="2"/>
    <map measureGroup="3" dimension="0"/>
    <map measureGroup="3" dimension="1"/>
    <map measureGroup="3" dimension="2"/>
    <map measureGroup="3" dimension="3"/>
    <map measureGroup="3" dimension="4"/>
    <map measureGroup="4" dimension="0"/>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15.953292592596" backgroundQuery="1" createdVersion="8" refreshedVersion="8" minRefreshableVersion="3" recordCount="0" supportSubquery="1" supportAdvancedDrill="1" xr:uid="{29D47C38-B782-4E07-83D7-D2D0E8E22616}">
  <cacheSource type="external" connectionId="6"/>
  <cacheFields count="4">
    <cacheField name="[Measures].[Sum of Total_Runs]" caption="Sum of Total_Runs" numFmtId="0" hierarchy="74" level="32767"/>
    <cacheField name="[fact_match].[Win_Type].[Win_Type]" caption="Win_Type" numFmtId="0" hierarchy="34" level="1">
      <sharedItems count="2">
        <s v="Win by Runs"/>
        <s v="Win by Wickets"/>
      </sharedItems>
    </cacheField>
    <cacheField name="[dim_team].[Team_Name].[Team_Name]" caption="Team_Name" numFmtId="0" hierarchy="9" level="1">
      <sharedItems containsSemiMixedTypes="0" containsNonDate="0" containsString="0"/>
    </cacheField>
    <cacheField name="[fact_match].[Venue_Name].[Venue_Name]" caption="Venue_Name" numFmtId="0" hierarchy="36"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1"/>
      </fieldsUsage>
    </cacheHierarchy>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3"/>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Home_Win]" caption="Home_Win" attribute="1" defaultMemberUniqueName="[fact_match].[Home_Win].[All]" allUniqueName="[fact_match].[Home_Win].[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sWins]" caption="Teams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Home_Win]" caption="Count of Home_Win" measure="1" displayFolder="" measureGroup="fact_match" count="0" hidden="1">
      <extLst>
        <ext xmlns:x15="http://schemas.microsoft.com/office/spreadsheetml/2010/11/main" uri="{B97F6D7D-B522-45F9-BDA1-12C45D357490}">
          <x15:cacheHierarchy aggregatedColumn="38"/>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6"/>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Count of Team_ID 2]" caption="Count of Team_ID 2" measure="1" displayFolder="" measureGroup="dim_player" count="0" hidden="1">
      <extLst>
        <ext xmlns:x15="http://schemas.microsoft.com/office/spreadsheetml/2010/11/main" uri="{B97F6D7D-B522-45F9-BDA1-12C45D357490}">
          <x15:cacheHierarchy aggregatedColumn="2"/>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1" dimension="1"/>
    <map measureGroup="2" dimension="2"/>
    <map measureGroup="3" dimension="0"/>
    <map measureGroup="3" dimension="1"/>
    <map measureGroup="3" dimension="2"/>
    <map measureGroup="3" dimension="3"/>
    <map measureGroup="3" dimension="4"/>
    <map measureGroup="4" dimension="0"/>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15.953297106484" backgroundQuery="1" createdVersion="8" refreshedVersion="8" minRefreshableVersion="3" recordCount="0" supportSubquery="1" supportAdvancedDrill="1" xr:uid="{40CBD3FD-7E5A-4C51-A796-B32FB6FE1211}">
  <cacheSource type="external" connectionId="6"/>
  <cacheFields count="10">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unt="1">
        <s v="Bowler"/>
      </sharedItems>
    </cacheField>
    <cacheField name="[Measures].[Sum of Runs]" caption="Sum of Runs" numFmtId="0" hierarchy="68" level="32767"/>
    <cacheField name="[Measures].[Sum of Balls_Faced]" caption="Sum of Balls_Faced" numFmtId="0" hierarchy="69" level="32767"/>
    <cacheField name="[Measures].[Sum of Wickets]" caption="Sum of Wickets" numFmtId="0" hierarchy="70" level="32767"/>
    <cacheField name="[Measures].[Sum of Runs_Conceded]" caption="Sum of Runs_Conceded" numFmtId="0" hierarchy="71" level="32767"/>
    <cacheField name="[Measures].[Sum of Strike_Rate]" caption="Sum of Strike_Rate" numFmtId="0" hierarchy="72" level="32767"/>
    <cacheField name="[Measures].[Sum of Economy]" caption="Sum of Economy" numFmtId="0" hierarchy="73" level="32767"/>
    <cacheField name="[dim_team].[Team_Name].[Team_Name]" caption="Team_Name" numFmtId="0" hierarchy="9" level="1">
      <sharedItems containsSemiMixedTypes="0" containsNonDate="0" containsString="0"/>
    </cacheField>
    <cacheField name="[fact_match].[Venue_Name].[Venue_Name]" caption="Venue_Name" numFmtId="0" hierarchy="36"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8"/>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9"/>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Home_Win]" caption="Home_Win" attribute="1" defaultMemberUniqueName="[fact_match].[Home_Win].[All]" allUniqueName="[fact_match].[Home_Win].[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sWins]" caption="Teams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Home_Win]" caption="Count of Home_Win" measure="1" displayFolder="" measureGroup="fact_match" count="0" hidden="1">
      <extLst>
        <ext xmlns:x15="http://schemas.microsoft.com/office/spreadsheetml/2010/11/main" uri="{B97F6D7D-B522-45F9-BDA1-12C45D357490}">
          <x15:cacheHierarchy aggregatedColumn="38"/>
        </ext>
      </extLst>
    </cacheHierarchy>
    <cacheHierarchy uniqueName="[Measures].[Sum of Runs]" caption="Sum of Runs" measure="1" displayFolder="" measureGroup="fact_player"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oneField="1" hidden="1">
      <fieldsUsage count="1">
        <fieldUsage x="3"/>
      </fieldsUsage>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4"/>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oneField="1" hidden="1">
      <fieldsUsage count="1">
        <fieldUsage x="5"/>
      </fieldsUsage>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6"/>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7"/>
      </fieldsUsage>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9"/>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6"/>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Count of Team_ID 2]" caption="Count of Team_ID 2" measure="1" displayFolder="" measureGroup="dim_player" count="0" hidden="1">
      <extLst>
        <ext xmlns:x15="http://schemas.microsoft.com/office/spreadsheetml/2010/11/main" uri="{B97F6D7D-B522-45F9-BDA1-12C45D357490}">
          <x15:cacheHierarchy aggregatedColumn="2"/>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1" dimension="1"/>
    <map measureGroup="2" dimension="2"/>
    <map measureGroup="3" dimension="0"/>
    <map measureGroup="3" dimension="1"/>
    <map measureGroup="3" dimension="2"/>
    <map measureGroup="3" dimension="3"/>
    <map measureGroup="3" dimension="4"/>
    <map measureGroup="4" dimension="0"/>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15.953301851849" backgroundQuery="1" createdVersion="8" refreshedVersion="8" minRefreshableVersion="3" recordCount="0" supportSubquery="1" supportAdvancedDrill="1" xr:uid="{9B2E94AD-FAEF-4D37-A8CD-EACAEE1EF8C7}">
  <cacheSource type="external" connectionId="6"/>
  <cacheFields count="3">
    <cacheField name="[dim_team].[Team_Name].[Team_Name]" caption="Team_Name" numFmtId="0" hierarchy="9" level="1">
      <sharedItems count="1">
        <s v="Royal Challengers Bengaluru (RCB)"/>
      </sharedItems>
    </cacheField>
    <cacheField name="[Measures].[TeamsWins]" caption="TeamsWins" numFmtId="0" hierarchy="58" level="32767"/>
    <cacheField name="[fact_match].[Venue_Name].[Venue_Name]" caption="Venue_Name" numFmtId="0" hierarchy="36"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Home_Win]" caption="Home_Win" attribute="1" defaultMemberUniqueName="[fact_match].[Home_Win].[All]" allUniqueName="[fact_match].[Home_Win].[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sWins]" caption="TeamsWins" measure="1" displayFolder="" measureGroup="fact_match" count="0" oneField="1">
      <fieldsUsage count="1">
        <fieldUsage x="1"/>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Home_Win]" caption="Count of Home_Win" measure="1" displayFolder="" measureGroup="fact_match" count="0" hidden="1">
      <extLst>
        <ext xmlns:x15="http://schemas.microsoft.com/office/spreadsheetml/2010/11/main" uri="{B97F6D7D-B522-45F9-BDA1-12C45D357490}">
          <x15:cacheHierarchy aggregatedColumn="38"/>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9"/>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6"/>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Count of Team_ID 2]" caption="Count of Team_ID 2" measure="1" displayFolder="" measureGroup="dim_player" count="0" hidden="1">
      <extLst>
        <ext xmlns:x15="http://schemas.microsoft.com/office/spreadsheetml/2010/11/main" uri="{B97F6D7D-B522-45F9-BDA1-12C45D357490}">
          <x15:cacheHierarchy aggregatedColumn="2"/>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1" dimension="1"/>
    <map measureGroup="2" dimension="2"/>
    <map measureGroup="3" dimension="0"/>
    <map measureGroup="3" dimension="1"/>
    <map measureGroup="3" dimension="2"/>
    <map measureGroup="3" dimension="3"/>
    <map measureGroup="3" dimension="4"/>
    <map measureGroup="4" dimension="0"/>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15.953306597221" backgroundQuery="1" createdVersion="8" refreshedVersion="8" minRefreshableVersion="3" recordCount="0" supportSubquery="1" supportAdvancedDrill="1" xr:uid="{E7E89BDD-4F7D-4B78-9FBE-7B5B365F4F6F}">
  <cacheSource type="external" connectionId="6"/>
  <cacheFields count="5">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unt="1">
        <s v="Bowler"/>
      </sharedItems>
    </cacheField>
    <cacheField name="[Measures].[Sum of Runs]" caption="Sum of Runs" numFmtId="0" hierarchy="68" level="32767"/>
    <cacheField name="[dim_team].[Team_Name].[Team_Name]" caption="Team_Name" numFmtId="0" hierarchy="9" level="1">
      <sharedItems containsSemiMixedTypes="0" containsNonDate="0" containsString="0"/>
    </cacheField>
    <cacheField name="[fact_match].[Venue_Name].[Venue_Name]" caption="Venue_Name" numFmtId="0" hierarchy="36"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3"/>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Home_Win]" caption="Home_Win" attribute="1" defaultMemberUniqueName="[fact_match].[Home_Win].[All]" allUniqueName="[fact_match].[Home_Win].[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sWins]" caption="Teams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Home_Win]" caption="Count of Home_Win" measure="1" displayFolder="" measureGroup="fact_match" count="0" hidden="1">
      <extLst>
        <ext xmlns:x15="http://schemas.microsoft.com/office/spreadsheetml/2010/11/main" uri="{B97F6D7D-B522-45F9-BDA1-12C45D357490}">
          <x15:cacheHierarchy aggregatedColumn="38"/>
        </ext>
      </extLst>
    </cacheHierarchy>
    <cacheHierarchy uniqueName="[Measures].[Sum of Runs]" caption="Sum of Runs" measure="1" displayFolder="" measureGroup="fact_player"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9"/>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6"/>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Count of Team_ID 2]" caption="Count of Team_ID 2" measure="1" displayFolder="" measureGroup="dim_player" count="0" hidden="1">
      <extLst>
        <ext xmlns:x15="http://schemas.microsoft.com/office/spreadsheetml/2010/11/main" uri="{B97F6D7D-B522-45F9-BDA1-12C45D357490}">
          <x15:cacheHierarchy aggregatedColumn="2"/>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1" dimension="1"/>
    <map measureGroup="2" dimension="2"/>
    <map measureGroup="3" dimension="0"/>
    <map measureGroup="3" dimension="1"/>
    <map measureGroup="3" dimension="2"/>
    <map measureGroup="3" dimension="3"/>
    <map measureGroup="3" dimension="4"/>
    <map measureGroup="4" dimension="0"/>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15.953311111109" backgroundQuery="1" createdVersion="8" refreshedVersion="8" minRefreshableVersion="3" recordCount="0" supportSubquery="1" supportAdvancedDrill="1" xr:uid="{ABD10AC8-0BE5-4E82-B9F1-0A2104E60F9B}">
  <cacheSource type="external" connectionId="6"/>
  <cacheFields count="5">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unt="1">
        <s v="Bowler"/>
      </sharedItems>
    </cacheField>
    <cacheField name="[Measures].[Sum of Wickets]" caption="Sum of Wickets" numFmtId="0" hierarchy="70" level="32767"/>
    <cacheField name="[dim_team].[Team_Name].[Team_Name]" caption="Team_Name" numFmtId="0" hierarchy="9" level="1">
      <sharedItems containsSemiMixedTypes="0" containsNonDate="0" containsString="0"/>
    </cacheField>
    <cacheField name="[fact_match].[Venue_Name].[Venue_Name]" caption="Venue_Name" numFmtId="0" hierarchy="36"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3"/>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Home_Win]" caption="Home_Win" attribute="1" defaultMemberUniqueName="[fact_match].[Home_Win].[All]" allUniqueName="[fact_match].[Home_Win].[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sWins]" caption="Teams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Home_Win]" caption="Count of Home_Win" measure="1" displayFolder="" measureGroup="fact_match" count="0" hidden="1">
      <extLst>
        <ext xmlns:x15="http://schemas.microsoft.com/office/spreadsheetml/2010/11/main" uri="{B97F6D7D-B522-45F9-BDA1-12C45D357490}">
          <x15:cacheHierarchy aggregatedColumn="38"/>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9"/>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6"/>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Count of Team_ID 2]" caption="Count of Team_ID 2" measure="1" displayFolder="" measureGroup="dim_player" count="0" hidden="1">
      <extLst>
        <ext xmlns:x15="http://schemas.microsoft.com/office/spreadsheetml/2010/11/main" uri="{B97F6D7D-B522-45F9-BDA1-12C45D357490}">
          <x15:cacheHierarchy aggregatedColumn="2"/>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1" dimension="1"/>
    <map measureGroup="2" dimension="2"/>
    <map measureGroup="3" dimension="0"/>
    <map measureGroup="3" dimension="1"/>
    <map measureGroup="3" dimension="2"/>
    <map measureGroup="3" dimension="3"/>
    <map measureGroup="3" dimension="4"/>
    <map measureGroup="4" dimension="0"/>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15.953315509258" backgroundQuery="1" createdVersion="8" refreshedVersion="8" minRefreshableVersion="3" recordCount="0" supportSubquery="1" supportAdvancedDrill="1" xr:uid="{9C1C4D4A-9A09-45ED-A71A-73A7B2178462}">
  <cacheSource type="external" connectionId="6"/>
  <cacheFields count="6">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unt="1">
        <s v="Bowler"/>
      </sharedItems>
    </cacheField>
    <cacheField name="[Measures].[Sum of Strike_Rate]" caption="Sum of Strike_Rate" numFmtId="0" hierarchy="72" level="32767"/>
    <cacheField name="[Measures].[PlayerAvgStrikeRate]" caption="PlayerAvgStrikeRate" numFmtId="0" hierarchy="56" level="32767"/>
    <cacheField name="[dim_team].[Team_Name].[Team_Name]" caption="Team_Name" numFmtId="0" hierarchy="9" level="1">
      <sharedItems containsSemiMixedTypes="0" containsNonDate="0" containsString="0"/>
    </cacheField>
    <cacheField name="[fact_match].[Venue_Name].[Venue_Name]" caption="Venue_Name" numFmtId="0" hierarchy="36"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13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4"/>
      </fieldsUsage>
    </cacheHierarchy>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13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5"/>
      </fieldsUsage>
    </cacheHierarchy>
    <cacheHierarchy uniqueName="[fact_match].[Home_Team]" caption="Home_Team" attribute="1" defaultMemberUniqueName="[fact_match].[Home_Team].[All]" allUniqueName="[fact_match].[Home_Team].[All]" dimensionUniqueName="[fact_match]" displayFolder="" count="2" memberValueDatatype="130" unbalanced="0"/>
    <cacheHierarchy uniqueName="[fact_match].[Home_Win]" caption="Home_Win" attribute="1" defaultMemberUniqueName="[fact_match].[Home_Win].[All]" allUniqueName="[fact_match].[Home_Win].[All]" dimensionUniqueName="[fact_match]" displayFolder="" count="2" memberValueDatatype="130"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oneField="1">
      <fieldsUsage count="1">
        <fieldUsage x="3"/>
      </fieldsUsage>
    </cacheHierarchy>
    <cacheHierarchy uniqueName="[Measures].[MatchesPlayed]" caption="MatchesPlayed" measure="1" displayFolder="" measureGroup="fact_match" count="0"/>
    <cacheHierarchy uniqueName="[Measures].[TeamsWins]" caption="Teams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Home_Win]" caption="Count of Home_Win" measure="1" displayFolder="" measureGroup="fact_match" count="0" hidden="1">
      <extLst>
        <ext xmlns:x15="http://schemas.microsoft.com/office/spreadsheetml/2010/11/main" uri="{B97F6D7D-B522-45F9-BDA1-12C45D357490}">
          <x15:cacheHierarchy aggregatedColumn="38"/>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2"/>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9"/>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6"/>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Count of Team_ID 2]" caption="Count of Team_ID 2" measure="1" displayFolder="" measureGroup="dim_player" count="0" hidden="1">
      <extLst>
        <ext xmlns:x15="http://schemas.microsoft.com/office/spreadsheetml/2010/11/main" uri="{B97F6D7D-B522-45F9-BDA1-12C45D357490}">
          <x15:cacheHierarchy aggregatedColumn="2"/>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1" dimension="1"/>
    <map measureGroup="2" dimension="2"/>
    <map measureGroup="3" dimension="0"/>
    <map measureGroup="3" dimension="1"/>
    <map measureGroup="3" dimension="2"/>
    <map measureGroup="3" dimension="3"/>
    <map measureGroup="3" dimension="4"/>
    <map measureGroup="4" dimension="0"/>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15.953320138891" backgroundQuery="1" createdVersion="8" refreshedVersion="8" minRefreshableVersion="3" recordCount="0" supportSubquery="1" supportAdvancedDrill="1" xr:uid="{5B4C2FF8-4F28-4255-83EB-5DD108812D91}">
  <cacheSource type="external" connectionId="6"/>
  <cacheFields count="5">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dim_player].[Role].[Role]" caption="Role" numFmtId="0" hierarchy="3" level="1">
      <sharedItems count="1">
        <s v="Bowler"/>
      </sharedItems>
    </cacheField>
    <cacheField name="[Measures].[Sum of Economy]" caption="Sum of Economy" numFmtId="0" hierarchy="73" level="32767"/>
    <cacheField name="[dim_team].[Team_Name].[Team_Name]" caption="Team_Name" numFmtId="0" hierarchy="9" level="1">
      <sharedItems containsSemiMixedTypes="0" containsNonDate="0" containsString="0"/>
    </cacheField>
    <cacheField name="[fact_match].[Venue_Name].[Venue_Name]" caption="Venue_Name" numFmtId="0" hierarchy="36"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3"/>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Home_Win]" caption="Home_Win" attribute="1" defaultMemberUniqueName="[fact_match].[Home_Win].[All]" allUniqueName="[fact_match].[Home_Win].[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sWins]" caption="Teams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Home_Win]" caption="Count of Home_Win" measure="1" displayFolder="" measureGroup="fact_match" count="0" hidden="1">
      <extLst>
        <ext xmlns:x15="http://schemas.microsoft.com/office/spreadsheetml/2010/11/main" uri="{B97F6D7D-B522-45F9-BDA1-12C45D357490}">
          <x15:cacheHierarchy aggregatedColumn="38"/>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2"/>
      </fieldsUsage>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9"/>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6"/>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Count of Team_ID 2]" caption="Count of Team_ID 2" measure="1" displayFolder="" measureGroup="dim_player" count="0" hidden="1">
      <extLst>
        <ext xmlns:x15="http://schemas.microsoft.com/office/spreadsheetml/2010/11/main" uri="{B97F6D7D-B522-45F9-BDA1-12C45D357490}">
          <x15:cacheHierarchy aggregatedColumn="2"/>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1" dimension="1"/>
    <map measureGroup="2" dimension="2"/>
    <map measureGroup="3" dimension="0"/>
    <map measureGroup="3" dimension="1"/>
    <map measureGroup="3" dimension="2"/>
    <map measureGroup="3" dimension="3"/>
    <map measureGroup="3" dimension="4"/>
    <map measureGroup="4" dimension="0"/>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15.953320601853" backgroundQuery="1" createdVersion="8" refreshedVersion="8" minRefreshableVersion="3" recordCount="0" supportSubquery="1" supportAdvancedDrill="1" xr:uid="{BB720BEE-0FFD-4F6B-8C8B-F2BAC9A608B1}">
  <cacheSource type="external" connectionId="6"/>
  <cacheFields count="3">
    <cacheField name="[dim_team].[Team_Name].[Team_Name]" caption="Team_Name" numFmtId="0" hierarchy="9" level="1">
      <sharedItems containsSemiMixedTypes="0" containsNonDate="0" containsString="0"/>
    </cacheField>
    <cacheField name="[fact_match].[Venue_Name].[Venue_Name]" caption="Venue_Name" numFmtId="0" hierarchy="36" level="1">
      <sharedItems count="1">
        <s v="Eden Gardens"/>
      </sharedItems>
    </cacheField>
    <cacheField name="[Measures].[Count of Team_ID]" caption="Count of Team_ID" numFmtId="0" hierarchy="77" level="32767"/>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1"/>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Home_Win]" caption="Home_Win" attribute="1" defaultMemberUniqueName="[fact_match].[Home_Win].[All]" allUniqueName="[fact_match].[Home_Win].[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sWins]" caption="Teams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Home_Win]" caption="Count of Home_Win" measure="1" displayFolder="" measureGroup="fact_match" count="0" hidden="1">
      <extLst>
        <ext xmlns:x15="http://schemas.microsoft.com/office/spreadsheetml/2010/11/main" uri="{B97F6D7D-B522-45F9-BDA1-12C45D357490}">
          <x15:cacheHierarchy aggregatedColumn="38"/>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9"/>
        </ext>
      </extLst>
    </cacheHierarchy>
    <cacheHierarchy uniqueName="[Measures].[Count of Venue_Name]" caption="Count of Venue_Name" measure="1" displayFolder="" measureGroup="fact_match" count="0" hidden="1">
      <extLst>
        <ext xmlns:x15="http://schemas.microsoft.com/office/spreadsheetml/2010/11/main" uri="{B97F6D7D-B522-45F9-BDA1-12C45D357490}">
          <x15:cacheHierarchy aggregatedColumn="36"/>
        </ext>
      </extLst>
    </cacheHierarchy>
    <cacheHierarchy uniqueName="[Measures].[Count of Team_Name]" caption="Count of Team_Name" measure="1" displayFolder="" measureGroup="dim_team" count="0" hidden="1">
      <extLst>
        <ext xmlns:x15="http://schemas.microsoft.com/office/spreadsheetml/2010/11/main" uri="{B97F6D7D-B522-45F9-BDA1-12C45D357490}">
          <x15:cacheHierarchy aggregatedColumn="9"/>
        </ext>
      </extLst>
    </cacheHierarchy>
    <cacheHierarchy uniqueName="[Measures].[Count of Team_ID]" caption="Count of Team_ID" measure="1" displayFolder="" measureGroup="dim_team"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Team_ID 2]" caption="Count of Team_ID 2" measure="1" displayFolder="" measureGroup="dim_player" count="0" hidden="1">
      <extLst>
        <ext xmlns:x15="http://schemas.microsoft.com/office/spreadsheetml/2010/11/main" uri="{B97F6D7D-B522-45F9-BDA1-12C45D357490}">
          <x15:cacheHierarchy aggregatedColumn="2"/>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0">
    <map measureGroup="0" dimension="0"/>
    <map measureGroup="1" dimension="1"/>
    <map measureGroup="2" dimension="2"/>
    <map measureGroup="3" dimension="0"/>
    <map measureGroup="3" dimension="1"/>
    <map measureGroup="3" dimension="2"/>
    <map measureGroup="3" dimension="3"/>
    <map measureGroup="3" dimension="4"/>
    <map measureGroup="4" dimension="0"/>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8.444055439817" createdVersion="3" refreshedVersion="8" minRefreshableVersion="3" recordCount="0" supportSubquery="1" supportAdvancedDrill="1" xr:uid="{4759774C-E4D5-4315-99AC-8858FE734B29}">
  <cacheSource type="external" connectionId="6">
    <extLst>
      <ext xmlns:x14="http://schemas.microsoft.com/office/spreadsheetml/2009/9/main" uri="{F057638F-6D5F-4e77-A914-E7F072B9BCA8}">
        <x14:sourceConnection name="ThisWorkbookDataModel"/>
      </ext>
    </extLst>
  </cacheSource>
  <cacheFields count="0"/>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Home_Win]" caption="Home_Win" attribute="1" defaultMemberUniqueName="[fact_match].[Home_Win].[All]" allUniqueName="[fact_match].[Home_Win].[All]" dimensionUniqueName="[fact_match]" displayFolder="" count="0" memberValueDatatype="130"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gStrikeRate]" caption="PlayerAvgStrikeRate" measure="1" displayFolder="" measureGroup="fact_player" count="0"/>
    <cacheHierarchy uniqueName="[Measures].[MatchesPlayed]" caption="MatchesPlayed" measure="1" displayFolder="" measureGroup="fact_match" count="0"/>
    <cacheHierarchy uniqueName="[Measures].[TeamsWins]" caption="Teams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Home_Win]" caption="Count of Home_Win" measure="1" displayFolder="" measureGroup="fact_match" count="0" hidden="1">
      <extLst>
        <ext xmlns:x15="http://schemas.microsoft.com/office/spreadsheetml/2010/11/main" uri="{B97F6D7D-B522-45F9-BDA1-12C45D357490}">
          <x15:cacheHierarchy aggregatedColumn="38"/>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18459680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7EB3F3-F978-469A-8746-9F9DB90DBE2C}" name="PivotTable2" cacheId="22" applyNumberFormats="0" applyBorderFormats="0" applyFontFormats="0" applyPatternFormats="0" applyAlignmentFormats="0" applyWidthHeightFormats="1" dataCaption="Values" tag="04dc8f69-f9b8-4e8f-b57f-616679079fbe" updatedVersion="8" minRefreshableVersion="3" useAutoFormatting="1" itemPrintTitles="1" createdVersion="8" indent="0" outline="1" outlineData="1" multipleFieldFilters="0" chartFormat="12" rowHeaderCaption="Team Name">
  <location ref="A15:B17" firstHeaderRow="1" firstDataRow="1" firstDataCol="1"/>
  <pivotFields count="3">
    <pivotField axis="axisRow" allDrilled="1" subtotalTop="0" showAll="0"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Total Wins"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kjncc"/>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82CE9E-10F9-4735-B243-65422C8CB35B}" name="PivotTable29" cacheId="6" applyNumberFormats="0" applyBorderFormats="0" applyFontFormats="0" applyPatternFormats="0" applyAlignmentFormats="0" applyWidthHeightFormats="1" dataCaption="Values" tag="04dc8f69-f9b8-4e8f-b57f-616679079fbe" updatedVersion="8" minRefreshableVersion="3" useAutoFormatting="1" itemPrintTitles="1" createdVersion="8" indent="0" outline="1" outlineData="1" multipleFieldFilters="0" rowHeaderCaption="Team Name">
  <location ref="A3:E12" firstHeaderRow="0" firstDataRow="1" firstDataCol="1"/>
  <pivotFields count="6">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4">
    <i>
      <x/>
    </i>
    <i i="1">
      <x v="1"/>
    </i>
    <i i="2">
      <x v="2"/>
    </i>
    <i i="3">
      <x v="3"/>
    </i>
  </colItems>
  <dataFields count="4">
    <dataField name="Total Matches" fld="1" subtotal="count" baseField="0" baseItem="0"/>
    <dataField name="Total Wins" fld="4" subtotal="count" baseField="0" baseItem="0"/>
    <dataField name="Total Runs" fld="2" subtotal="count" baseField="0" baseItem="0"/>
    <dataField name="Total Wickets" fld="3"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860C0E-FD6E-4FE8-B7D6-7C35AC1FE23C}" name="PivotTable15" cacheId="2" applyNumberFormats="0" applyBorderFormats="0" applyFontFormats="0" applyPatternFormats="0" applyAlignmentFormats="0" applyWidthHeightFormats="1" dataCaption="Values" tag="04dc8f69-f9b8-4e8f-b57f-616679079fbe" updatedVersion="8" minRefreshableVersion="3" useAutoFormatting="1" subtotalHiddenItems="1" itemPrintTitles="1" createdVersion="8" indent="0" outline="1" outlineData="1" multipleFieldFilters="0" rowHeaderCaption="Team Name">
  <location ref="A20:B22"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Count of Team_ID" fld="1"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ED32F7-1C7A-43EF-8294-C52DE4F22CB7}" name="PivotTable4" cacheId="16" applyNumberFormats="0" applyBorderFormats="0" applyFontFormats="0" applyPatternFormats="0" applyAlignmentFormats="0" applyWidthHeightFormats="1" dataCaption="Values" tag="04dc8f69-f9b8-4e8f-b57f-616679079fbe" updatedVersion="8" minRefreshableVersion="3" useAutoFormatting="1" itemPrintTitles="1" createdVersion="8" indent="0" outline="1" outlineData="1" multipleFieldFilters="0" chartFormat="8" rowHeaderCaption="Team Name">
  <location ref="G3:H6"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Total Runs" fld="0" baseField="0" baseItem="0"/>
  </dataFields>
  <chartFormats count="7">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team].[Team_Name].&amp;[Royal Challengers Bengaluru (RC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kjncc"/>
    <pivotHierarchy dragToData="1"/>
    <pivotHierarchy dragToData="1"/>
    <pivotHierarchy dragToData="1"/>
    <pivotHierarchy dragToData="1"/>
    <pivotHierarchy dragToData="1"/>
    <pivotHierarchy dragToData="1"/>
    <pivotHierarchy dragToData="1"/>
    <pivotHierarchy dragToData="1" caption="Total Run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F7BC6F-A82C-4085-A97B-61CA20A737AE}" name="PivotTable3" cacheId="4" applyNumberFormats="0" applyBorderFormats="0" applyFontFormats="0" applyPatternFormats="0" applyAlignmentFormats="0" applyWidthHeightFormats="1" dataCaption="Values" tag="04dc8f69-f9b8-4e8f-b57f-616679079fbe" updatedVersion="8" minRefreshableVersion="3" useAutoFormatting="1" itemPrintTitles="1" createdVersion="8" indent="0" outline="1" outlineData="1" multipleFieldFilters="0" chartFormat="10" rowHeaderCaption="Team Name">
  <location ref="O3:P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Total Runs"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kjncc"/>
    <pivotHierarchy dragToData="1"/>
    <pivotHierarchy dragToData="1"/>
    <pivotHierarchy dragToData="1"/>
    <pivotHierarchy dragToData="1"/>
    <pivotHierarchy dragToData="1"/>
    <pivotHierarchy dragToData="1"/>
    <pivotHierarchy dragToData="1"/>
    <pivotHierarchy dragToData="1" caption="Total Run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B8F89A-1A38-488B-A9FC-D941AE8A7A7E}" name="PivotTable1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 Players">
  <location ref="U3:V37" firstHeaderRow="1" firstDataRow="1" firstDataCol="1"/>
  <pivotFields count="5">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Total Wickets"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team].[Team_Name].&amp;[Royal Challengers Bengaluru (RC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Chinnaswam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D79FC2-9682-441F-B20A-E0959E2F3B20}" name="PivotTable1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 Players">
  <location ref="I3:J37" firstHeaderRow="1" firstDataRow="1" firstDataCol="1"/>
  <pivotFields count="5">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Total Runs"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team].[Team_Name].&amp;[Royal Challengers Bengaluru (RC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Chinnaswam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A0AE59-BEF7-477C-A531-B05AE3C1C398}"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Players">
  <location ref="A3:G37" firstHeaderRow="0" firstDataRow="1" firstDataCol="1"/>
  <pivotFields count="10">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6">
    <i>
      <x/>
    </i>
    <i i="1">
      <x v="1"/>
    </i>
    <i i="2">
      <x v="2"/>
    </i>
    <i i="3">
      <x v="3"/>
    </i>
    <i i="4">
      <x v="4"/>
    </i>
    <i i="5">
      <x v="5"/>
    </i>
  </colItems>
  <dataFields count="6">
    <dataField name="Total Runs" fld="2" baseField="0" baseItem="0"/>
    <dataField name="Balls Faced" fld="3" baseField="0" baseItem="0"/>
    <dataField name="Total Wickets" fld="4" baseField="0" baseItem="0"/>
    <dataField name="Runs Conceded" fld="5" baseField="0" baseItem="0"/>
    <dataField name="Strike Rate" fld="6" baseField="0" baseItem="0"/>
    <dataField name="Economy" fld="7"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team].[Team_Name].&amp;[Royal Challengers Bengaluru (RC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Chinnaswam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28E217-BC04-4761-BB44-08416E92B7E3}" name="PivotTable16"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 Players">
  <location ref="E64:F66"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1">
        <item s="1" x="0"/>
      </items>
    </pivotField>
    <pivotField dataField="1" subtotalTop="0" showAll="0" defaultSubtotal="0"/>
  </pivotFields>
  <rowFields count="1">
    <field x="1"/>
  </rowFields>
  <rowItems count="2">
    <i>
      <x/>
    </i>
    <i t="grand">
      <x/>
    </i>
  </rowItems>
  <colItems count="1">
    <i/>
  </colItems>
  <dataFields count="1">
    <dataField name="Count of Team_ID" fld="2"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team].[Team_Name].&amp;[Royal Challengers Bengaluru (RC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A42A3C-1E34-4908-9D68-C2FA296269C0}" name="PivotTable1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 Players">
  <location ref="P40:Q74" firstHeaderRow="1" firstDataRow="1" firstDataCol="1"/>
  <pivotFields count="5">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Economy" fld="2" baseField="0" baseItem="0"/>
  </dataFields>
  <chartFormats count="68">
    <chartFormat chart="1" format="0" series="1">
      <pivotArea type="data" outline="0" fieldPosition="0">
        <references count="1">
          <reference field="4294967294" count="1" selected="0">
            <x v="0"/>
          </reference>
        </references>
      </pivotArea>
    </chartFormat>
    <chartFormat chart="4" format="35" series="1">
      <pivotArea type="data" outline="0" fieldPosition="0">
        <references count="1">
          <reference field="4294967294" count="1" selected="0">
            <x v="0"/>
          </reference>
        </references>
      </pivotArea>
    </chartFormat>
    <chartFormat chart="4" format="36">
      <pivotArea type="data" outline="0" fieldPosition="0">
        <references count="2">
          <reference field="4294967294" count="1" selected="0">
            <x v="0"/>
          </reference>
          <reference field="0" count="1" selected="0">
            <x v="0"/>
          </reference>
        </references>
      </pivotArea>
    </chartFormat>
    <chartFormat chart="4" format="37">
      <pivotArea type="data" outline="0" fieldPosition="0">
        <references count="2">
          <reference field="4294967294" count="1" selected="0">
            <x v="0"/>
          </reference>
          <reference field="0" count="1" selected="0">
            <x v="1"/>
          </reference>
        </references>
      </pivotArea>
    </chartFormat>
    <chartFormat chart="4" format="38">
      <pivotArea type="data" outline="0" fieldPosition="0">
        <references count="2">
          <reference field="4294967294" count="1" selected="0">
            <x v="0"/>
          </reference>
          <reference field="0" count="1" selected="0">
            <x v="2"/>
          </reference>
        </references>
      </pivotArea>
    </chartFormat>
    <chartFormat chart="4" format="39">
      <pivotArea type="data" outline="0" fieldPosition="0">
        <references count="2">
          <reference field="4294967294" count="1" selected="0">
            <x v="0"/>
          </reference>
          <reference field="0" count="1" selected="0">
            <x v="3"/>
          </reference>
        </references>
      </pivotArea>
    </chartFormat>
    <chartFormat chart="4" format="40">
      <pivotArea type="data" outline="0" fieldPosition="0">
        <references count="2">
          <reference field="4294967294" count="1" selected="0">
            <x v="0"/>
          </reference>
          <reference field="0" count="1" selected="0">
            <x v="4"/>
          </reference>
        </references>
      </pivotArea>
    </chartFormat>
    <chartFormat chart="4" format="41">
      <pivotArea type="data" outline="0" fieldPosition="0">
        <references count="2">
          <reference field="4294967294" count="1" selected="0">
            <x v="0"/>
          </reference>
          <reference field="0" count="1" selected="0">
            <x v="5"/>
          </reference>
        </references>
      </pivotArea>
    </chartFormat>
    <chartFormat chart="4" format="42">
      <pivotArea type="data" outline="0" fieldPosition="0">
        <references count="2">
          <reference field="4294967294" count="1" selected="0">
            <x v="0"/>
          </reference>
          <reference field="0" count="1" selected="0">
            <x v="6"/>
          </reference>
        </references>
      </pivotArea>
    </chartFormat>
    <chartFormat chart="4" format="43">
      <pivotArea type="data" outline="0" fieldPosition="0">
        <references count="2">
          <reference field="4294967294" count="1" selected="0">
            <x v="0"/>
          </reference>
          <reference field="0" count="1" selected="0">
            <x v="7"/>
          </reference>
        </references>
      </pivotArea>
    </chartFormat>
    <chartFormat chart="4" format="44">
      <pivotArea type="data" outline="0" fieldPosition="0">
        <references count="2">
          <reference field="4294967294" count="1" selected="0">
            <x v="0"/>
          </reference>
          <reference field="0" count="1" selected="0">
            <x v="8"/>
          </reference>
        </references>
      </pivotArea>
    </chartFormat>
    <chartFormat chart="4" format="45">
      <pivotArea type="data" outline="0" fieldPosition="0">
        <references count="2">
          <reference field="4294967294" count="1" selected="0">
            <x v="0"/>
          </reference>
          <reference field="0" count="1" selected="0">
            <x v="9"/>
          </reference>
        </references>
      </pivotArea>
    </chartFormat>
    <chartFormat chart="4" format="46">
      <pivotArea type="data" outline="0" fieldPosition="0">
        <references count="2">
          <reference field="4294967294" count="1" selected="0">
            <x v="0"/>
          </reference>
          <reference field="0" count="1" selected="0">
            <x v="10"/>
          </reference>
        </references>
      </pivotArea>
    </chartFormat>
    <chartFormat chart="4" format="47">
      <pivotArea type="data" outline="0" fieldPosition="0">
        <references count="2">
          <reference field="4294967294" count="1" selected="0">
            <x v="0"/>
          </reference>
          <reference field="0" count="1" selected="0">
            <x v="11"/>
          </reference>
        </references>
      </pivotArea>
    </chartFormat>
    <chartFormat chart="4" format="48">
      <pivotArea type="data" outline="0" fieldPosition="0">
        <references count="2">
          <reference field="4294967294" count="1" selected="0">
            <x v="0"/>
          </reference>
          <reference field="0" count="1" selected="0">
            <x v="12"/>
          </reference>
        </references>
      </pivotArea>
    </chartFormat>
    <chartFormat chart="4" format="49">
      <pivotArea type="data" outline="0" fieldPosition="0">
        <references count="2">
          <reference field="4294967294" count="1" selected="0">
            <x v="0"/>
          </reference>
          <reference field="0" count="1" selected="0">
            <x v="13"/>
          </reference>
        </references>
      </pivotArea>
    </chartFormat>
    <chartFormat chart="4" format="50">
      <pivotArea type="data" outline="0" fieldPosition="0">
        <references count="2">
          <reference field="4294967294" count="1" selected="0">
            <x v="0"/>
          </reference>
          <reference field="0" count="1" selected="0">
            <x v="14"/>
          </reference>
        </references>
      </pivotArea>
    </chartFormat>
    <chartFormat chart="4" format="51">
      <pivotArea type="data" outline="0" fieldPosition="0">
        <references count="2">
          <reference field="4294967294" count="1" selected="0">
            <x v="0"/>
          </reference>
          <reference field="0" count="1" selected="0">
            <x v="15"/>
          </reference>
        </references>
      </pivotArea>
    </chartFormat>
    <chartFormat chart="4" format="52">
      <pivotArea type="data" outline="0" fieldPosition="0">
        <references count="2">
          <reference field="4294967294" count="1" selected="0">
            <x v="0"/>
          </reference>
          <reference field="0" count="1" selected="0">
            <x v="16"/>
          </reference>
        </references>
      </pivotArea>
    </chartFormat>
    <chartFormat chart="4" format="53">
      <pivotArea type="data" outline="0" fieldPosition="0">
        <references count="2">
          <reference field="4294967294" count="1" selected="0">
            <x v="0"/>
          </reference>
          <reference field="0" count="1" selected="0">
            <x v="17"/>
          </reference>
        </references>
      </pivotArea>
    </chartFormat>
    <chartFormat chart="4" format="54">
      <pivotArea type="data" outline="0" fieldPosition="0">
        <references count="2">
          <reference field="4294967294" count="1" selected="0">
            <x v="0"/>
          </reference>
          <reference field="0" count="1" selected="0">
            <x v="18"/>
          </reference>
        </references>
      </pivotArea>
    </chartFormat>
    <chartFormat chart="4" format="55">
      <pivotArea type="data" outline="0" fieldPosition="0">
        <references count="2">
          <reference field="4294967294" count="1" selected="0">
            <x v="0"/>
          </reference>
          <reference field="0" count="1" selected="0">
            <x v="19"/>
          </reference>
        </references>
      </pivotArea>
    </chartFormat>
    <chartFormat chart="4" format="56">
      <pivotArea type="data" outline="0" fieldPosition="0">
        <references count="2">
          <reference field="4294967294" count="1" selected="0">
            <x v="0"/>
          </reference>
          <reference field="0" count="1" selected="0">
            <x v="20"/>
          </reference>
        </references>
      </pivotArea>
    </chartFormat>
    <chartFormat chart="4" format="57">
      <pivotArea type="data" outline="0" fieldPosition="0">
        <references count="2">
          <reference field="4294967294" count="1" selected="0">
            <x v="0"/>
          </reference>
          <reference field="0" count="1" selected="0">
            <x v="21"/>
          </reference>
        </references>
      </pivotArea>
    </chartFormat>
    <chartFormat chart="4" format="58">
      <pivotArea type="data" outline="0" fieldPosition="0">
        <references count="2">
          <reference field="4294967294" count="1" selected="0">
            <x v="0"/>
          </reference>
          <reference field="0" count="1" selected="0">
            <x v="22"/>
          </reference>
        </references>
      </pivotArea>
    </chartFormat>
    <chartFormat chart="4" format="59">
      <pivotArea type="data" outline="0" fieldPosition="0">
        <references count="2">
          <reference field="4294967294" count="1" selected="0">
            <x v="0"/>
          </reference>
          <reference field="0" count="1" selected="0">
            <x v="23"/>
          </reference>
        </references>
      </pivotArea>
    </chartFormat>
    <chartFormat chart="4" format="60">
      <pivotArea type="data" outline="0" fieldPosition="0">
        <references count="2">
          <reference field="4294967294" count="1" selected="0">
            <x v="0"/>
          </reference>
          <reference field="0" count="1" selected="0">
            <x v="24"/>
          </reference>
        </references>
      </pivotArea>
    </chartFormat>
    <chartFormat chart="4" format="61">
      <pivotArea type="data" outline="0" fieldPosition="0">
        <references count="2">
          <reference field="4294967294" count="1" selected="0">
            <x v="0"/>
          </reference>
          <reference field="0" count="1" selected="0">
            <x v="25"/>
          </reference>
        </references>
      </pivotArea>
    </chartFormat>
    <chartFormat chart="4" format="62">
      <pivotArea type="data" outline="0" fieldPosition="0">
        <references count="2">
          <reference field="4294967294" count="1" selected="0">
            <x v="0"/>
          </reference>
          <reference field="0" count="1" selected="0">
            <x v="26"/>
          </reference>
        </references>
      </pivotArea>
    </chartFormat>
    <chartFormat chart="4" format="63">
      <pivotArea type="data" outline="0" fieldPosition="0">
        <references count="2">
          <reference field="4294967294" count="1" selected="0">
            <x v="0"/>
          </reference>
          <reference field="0" count="1" selected="0">
            <x v="27"/>
          </reference>
        </references>
      </pivotArea>
    </chartFormat>
    <chartFormat chart="4" format="64">
      <pivotArea type="data" outline="0" fieldPosition="0">
        <references count="2">
          <reference field="4294967294" count="1" selected="0">
            <x v="0"/>
          </reference>
          <reference field="0" count="1" selected="0">
            <x v="28"/>
          </reference>
        </references>
      </pivotArea>
    </chartFormat>
    <chartFormat chart="4" format="65">
      <pivotArea type="data" outline="0" fieldPosition="0">
        <references count="2">
          <reference field="4294967294" count="1" selected="0">
            <x v="0"/>
          </reference>
          <reference field="0" count="1" selected="0">
            <x v="29"/>
          </reference>
        </references>
      </pivotArea>
    </chartFormat>
    <chartFormat chart="4" format="66">
      <pivotArea type="data" outline="0" fieldPosition="0">
        <references count="2">
          <reference field="4294967294" count="1" selected="0">
            <x v="0"/>
          </reference>
          <reference field="0" count="1" selected="0">
            <x v="30"/>
          </reference>
        </references>
      </pivotArea>
    </chartFormat>
    <chartFormat chart="4" format="67">
      <pivotArea type="data" outline="0" fieldPosition="0">
        <references count="2">
          <reference field="4294967294" count="1" selected="0">
            <x v="0"/>
          </reference>
          <reference field="0" count="1" selected="0">
            <x v="31"/>
          </reference>
        </references>
      </pivotArea>
    </chartFormat>
    <chartFormat chart="4" format="68">
      <pivotArea type="data" outline="0" fieldPosition="0">
        <references count="2">
          <reference field="4294967294" count="1" selected="0">
            <x v="0"/>
          </reference>
          <reference field="0" count="1" selected="0">
            <x v="32"/>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 chart="1" format="7">
      <pivotArea type="data" outline="0" fieldPosition="0">
        <references count="2">
          <reference field="4294967294" count="1" selected="0">
            <x v="0"/>
          </reference>
          <reference field="0" count="1" selected="0">
            <x v="6"/>
          </reference>
        </references>
      </pivotArea>
    </chartFormat>
    <chartFormat chart="1" format="8">
      <pivotArea type="data" outline="0" fieldPosition="0">
        <references count="2">
          <reference field="4294967294" count="1" selected="0">
            <x v="0"/>
          </reference>
          <reference field="0" count="1" selected="0">
            <x v="7"/>
          </reference>
        </references>
      </pivotArea>
    </chartFormat>
    <chartFormat chart="1" format="9">
      <pivotArea type="data" outline="0" fieldPosition="0">
        <references count="2">
          <reference field="4294967294" count="1" selected="0">
            <x v="0"/>
          </reference>
          <reference field="0" count="1" selected="0">
            <x v="8"/>
          </reference>
        </references>
      </pivotArea>
    </chartFormat>
    <chartFormat chart="1" format="10">
      <pivotArea type="data" outline="0" fieldPosition="0">
        <references count="2">
          <reference field="4294967294" count="1" selected="0">
            <x v="0"/>
          </reference>
          <reference field="0" count="1" selected="0">
            <x v="9"/>
          </reference>
        </references>
      </pivotArea>
    </chartFormat>
    <chartFormat chart="1" format="11">
      <pivotArea type="data" outline="0" fieldPosition="0">
        <references count="2">
          <reference field="4294967294" count="1" selected="0">
            <x v="0"/>
          </reference>
          <reference field="0" count="1" selected="0">
            <x v="10"/>
          </reference>
        </references>
      </pivotArea>
    </chartFormat>
    <chartFormat chart="1" format="12">
      <pivotArea type="data" outline="0" fieldPosition="0">
        <references count="2">
          <reference field="4294967294" count="1" selected="0">
            <x v="0"/>
          </reference>
          <reference field="0" count="1" selected="0">
            <x v="11"/>
          </reference>
        </references>
      </pivotArea>
    </chartFormat>
    <chartFormat chart="1" format="13">
      <pivotArea type="data" outline="0" fieldPosition="0">
        <references count="2">
          <reference field="4294967294" count="1" selected="0">
            <x v="0"/>
          </reference>
          <reference field="0" count="1" selected="0">
            <x v="12"/>
          </reference>
        </references>
      </pivotArea>
    </chartFormat>
    <chartFormat chart="1" format="14">
      <pivotArea type="data" outline="0" fieldPosition="0">
        <references count="2">
          <reference field="4294967294" count="1" selected="0">
            <x v="0"/>
          </reference>
          <reference field="0" count="1" selected="0">
            <x v="13"/>
          </reference>
        </references>
      </pivotArea>
    </chartFormat>
    <chartFormat chart="1" format="15">
      <pivotArea type="data" outline="0" fieldPosition="0">
        <references count="2">
          <reference field="4294967294" count="1" selected="0">
            <x v="0"/>
          </reference>
          <reference field="0" count="1" selected="0">
            <x v="14"/>
          </reference>
        </references>
      </pivotArea>
    </chartFormat>
    <chartFormat chart="1" format="16">
      <pivotArea type="data" outline="0" fieldPosition="0">
        <references count="2">
          <reference field="4294967294" count="1" selected="0">
            <x v="0"/>
          </reference>
          <reference field="0" count="1" selected="0">
            <x v="15"/>
          </reference>
        </references>
      </pivotArea>
    </chartFormat>
    <chartFormat chart="1" format="17">
      <pivotArea type="data" outline="0" fieldPosition="0">
        <references count="2">
          <reference field="4294967294" count="1" selected="0">
            <x v="0"/>
          </reference>
          <reference field="0" count="1" selected="0">
            <x v="16"/>
          </reference>
        </references>
      </pivotArea>
    </chartFormat>
    <chartFormat chart="1" format="18">
      <pivotArea type="data" outline="0" fieldPosition="0">
        <references count="2">
          <reference field="4294967294" count="1" selected="0">
            <x v="0"/>
          </reference>
          <reference field="0" count="1" selected="0">
            <x v="17"/>
          </reference>
        </references>
      </pivotArea>
    </chartFormat>
    <chartFormat chart="1" format="19">
      <pivotArea type="data" outline="0" fieldPosition="0">
        <references count="2">
          <reference field="4294967294" count="1" selected="0">
            <x v="0"/>
          </reference>
          <reference field="0" count="1" selected="0">
            <x v="18"/>
          </reference>
        </references>
      </pivotArea>
    </chartFormat>
    <chartFormat chart="1" format="20">
      <pivotArea type="data" outline="0" fieldPosition="0">
        <references count="2">
          <reference field="4294967294" count="1" selected="0">
            <x v="0"/>
          </reference>
          <reference field="0" count="1" selected="0">
            <x v="19"/>
          </reference>
        </references>
      </pivotArea>
    </chartFormat>
    <chartFormat chart="1" format="21">
      <pivotArea type="data" outline="0" fieldPosition="0">
        <references count="2">
          <reference field="4294967294" count="1" selected="0">
            <x v="0"/>
          </reference>
          <reference field="0" count="1" selected="0">
            <x v="20"/>
          </reference>
        </references>
      </pivotArea>
    </chartFormat>
    <chartFormat chart="1" format="22">
      <pivotArea type="data" outline="0" fieldPosition="0">
        <references count="2">
          <reference field="4294967294" count="1" selected="0">
            <x v="0"/>
          </reference>
          <reference field="0" count="1" selected="0">
            <x v="21"/>
          </reference>
        </references>
      </pivotArea>
    </chartFormat>
    <chartFormat chart="1" format="23">
      <pivotArea type="data" outline="0" fieldPosition="0">
        <references count="2">
          <reference field="4294967294" count="1" selected="0">
            <x v="0"/>
          </reference>
          <reference field="0" count="1" selected="0">
            <x v="22"/>
          </reference>
        </references>
      </pivotArea>
    </chartFormat>
    <chartFormat chart="1" format="24">
      <pivotArea type="data" outline="0" fieldPosition="0">
        <references count="2">
          <reference field="4294967294" count="1" selected="0">
            <x v="0"/>
          </reference>
          <reference field="0" count="1" selected="0">
            <x v="23"/>
          </reference>
        </references>
      </pivotArea>
    </chartFormat>
    <chartFormat chart="1" format="25">
      <pivotArea type="data" outline="0" fieldPosition="0">
        <references count="2">
          <reference field="4294967294" count="1" selected="0">
            <x v="0"/>
          </reference>
          <reference field="0" count="1" selected="0">
            <x v="24"/>
          </reference>
        </references>
      </pivotArea>
    </chartFormat>
    <chartFormat chart="1" format="26">
      <pivotArea type="data" outline="0" fieldPosition="0">
        <references count="2">
          <reference field="4294967294" count="1" selected="0">
            <x v="0"/>
          </reference>
          <reference field="0" count="1" selected="0">
            <x v="25"/>
          </reference>
        </references>
      </pivotArea>
    </chartFormat>
    <chartFormat chart="1" format="27">
      <pivotArea type="data" outline="0" fieldPosition="0">
        <references count="2">
          <reference field="4294967294" count="1" selected="0">
            <x v="0"/>
          </reference>
          <reference field="0" count="1" selected="0">
            <x v="26"/>
          </reference>
        </references>
      </pivotArea>
    </chartFormat>
    <chartFormat chart="1" format="28">
      <pivotArea type="data" outline="0" fieldPosition="0">
        <references count="2">
          <reference field="4294967294" count="1" selected="0">
            <x v="0"/>
          </reference>
          <reference field="0" count="1" selected="0">
            <x v="27"/>
          </reference>
        </references>
      </pivotArea>
    </chartFormat>
    <chartFormat chart="1" format="29">
      <pivotArea type="data" outline="0" fieldPosition="0">
        <references count="2">
          <reference field="4294967294" count="1" selected="0">
            <x v="0"/>
          </reference>
          <reference field="0" count="1" selected="0">
            <x v="28"/>
          </reference>
        </references>
      </pivotArea>
    </chartFormat>
    <chartFormat chart="1" format="30">
      <pivotArea type="data" outline="0" fieldPosition="0">
        <references count="2">
          <reference field="4294967294" count="1" selected="0">
            <x v="0"/>
          </reference>
          <reference field="0" count="1" selected="0">
            <x v="29"/>
          </reference>
        </references>
      </pivotArea>
    </chartFormat>
    <chartFormat chart="1" format="31">
      <pivotArea type="data" outline="0" fieldPosition="0">
        <references count="2">
          <reference field="4294967294" count="1" selected="0">
            <x v="0"/>
          </reference>
          <reference field="0" count="1" selected="0">
            <x v="30"/>
          </reference>
        </references>
      </pivotArea>
    </chartFormat>
    <chartFormat chart="1" format="32">
      <pivotArea type="data" outline="0" fieldPosition="0">
        <references count="2">
          <reference field="4294967294" count="1" selected="0">
            <x v="0"/>
          </reference>
          <reference field="0" count="1" selected="0">
            <x v="31"/>
          </reference>
        </references>
      </pivotArea>
    </chartFormat>
    <chartFormat chart="1" format="33">
      <pivotArea type="data" outline="0" fieldPosition="0">
        <references count="2">
          <reference field="4294967294" count="1" selected="0">
            <x v="0"/>
          </reference>
          <reference field="0" count="1" selected="0">
            <x v="3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team].[Team_Name].&amp;[Royal Challengers Bengaluru (RC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Chinnaswam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455938-F2E0-4C71-8D2A-1B9EE0B0865C}" name="PivotTable1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 Players">
  <location ref="A40:C74" firstHeaderRow="0" firstDataRow="1" firstDataCol="1"/>
  <pivotFields count="6">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name="Strike Rate" fld="2" baseField="0" baseItem="0"/>
    <dataField fld="3"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team].[Team_Name].&amp;[Royal Challengers Bengaluru (RC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match].[Venue_Name].&amp;[M. Chinnaswamy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 Rate"/>
    <pivotHierarchy dragToData="1" caption="Economy"/>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C24922DA-A0B1-49B2-BC01-D2D34EA15D6F}"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77D8A14D-01EC-438B-9907-814E3E6A6094}"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D9175CAA-70A8-4F4E-94F0-F4A1D21A8F4A}"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EFD16416-2FF6-4F1D-BD27-693C379741AE}"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F6E63E10-5478-417A-8371-38D86796E894}"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37B74ADE-0AE6-46CB-83AB-69036FE7C2A3}" sourceName="[dim_team].[Team_Name]">
  <pivotTables>
    <pivotTable tabId="11" name="PivotTable4"/>
    <pivotTable tabId="12" name="PivotTable1"/>
    <pivotTable tabId="11" name="PivotTable2"/>
    <pivotTable tabId="12" name="PivotTable11"/>
    <pivotTable tabId="12" name="PivotTable12"/>
    <pivotTable tabId="12" name="PivotTable13"/>
    <pivotTable tabId="12" name="PivotTable14"/>
    <pivotTable tabId="12" name="PivotTable16"/>
  </pivotTables>
  <data>
    <olap pivotCacheId="1845968083">
      <levels count="2">
        <level uniqueName="[dim_team].[Team_Name].[(All)]" sourceCaption="(All)" count="0"/>
        <level uniqueName="[dim_team].[Team_Name].[Team_Name]" sourceCaption="Team_Name" count="8">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range>
          </ranges>
        </level>
      </levels>
      <selections count="1">
        <selection n="[dim_team].[Team_Name].&amp;[Royal Challengers Bengaluru (RCB)]"/>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500E1BD2-7D55-4926-9EE2-09E9E19EFAC4}" cache="Slicer_Team_Name" caption="Team_Na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C3C7223-6F48-4AD7-9D17-3D11E920D36F}" name="fact_player" displayName="fact_player" ref="A1:K141" tableType="queryTable" totalsRowShown="0">
  <autoFilter ref="A1:K141" xr:uid="{DC3C7223-6F48-4AD7-9D17-3D11E920D36F}"/>
  <tableColumns count="11">
    <tableColumn id="1" xr3:uid="{47616D4F-BCE5-4FED-B95F-9949A0D20B07}" uniqueName="1" name="Match_ID" queryTableFieldId="1" dataDxfId="28"/>
    <tableColumn id="2" xr3:uid="{CE8FD017-DCFC-4919-9447-98514C781C87}" uniqueName="2" name="Player_ID" queryTableFieldId="2" dataDxfId="27"/>
    <tableColumn id="3" xr3:uid="{5F40CDCE-E005-4850-9F4B-8BE09575214E}" uniqueName="3" name="Runs" queryTableFieldId="3"/>
    <tableColumn id="4" xr3:uid="{D7C5D18F-D641-4BA7-AE52-2D656735AA4D}" uniqueName="4" name="Balls_Faced" queryTableFieldId="4"/>
    <tableColumn id="5" xr3:uid="{CAEA0DDB-70A7-41C0-983B-0891332D66FE}" uniqueName="5" name="Fours" queryTableFieldId="5"/>
    <tableColumn id="6" xr3:uid="{A36D22C7-28F0-4C38-9383-FE6820914044}" uniqueName="6" name="Sixes" queryTableFieldId="6"/>
    <tableColumn id="7" xr3:uid="{30FD7F33-61C6-48BD-A7FA-FD643460F75D}" uniqueName="7" name="Strike_Rate" queryTableFieldId="7"/>
    <tableColumn id="8" xr3:uid="{1A93144B-EA9F-4C50-96F5-25D43977B054}" uniqueName="8" name="Overs_Bowled" queryTableFieldId="8"/>
    <tableColumn id="9" xr3:uid="{E3A20A4E-C4D4-489D-AE33-13AEF5DC1BB4}" uniqueName="9" name="Runs_Conceded" queryTableFieldId="9"/>
    <tableColumn id="10" xr3:uid="{7EBBEF3B-813B-458E-82D7-EB949E22D077}" uniqueName="10" name="Wickets" queryTableFieldId="10"/>
    <tableColumn id="11" xr3:uid="{689AA405-51D6-413D-967B-DF8DEC74173E}" uniqueName="11" name="Economy"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149F38-2FA4-4BAC-BCE4-5BA1B2B0CDCF}" name="fact_match" displayName="fact_match" ref="A1:N61" tableType="queryTable" totalsRowShown="0">
  <autoFilter ref="A1:N61" xr:uid="{7A149F38-2FA4-4BAC-BCE4-5BA1B2B0CDCF}"/>
  <tableColumns count="14">
    <tableColumn id="1" xr3:uid="{FFA7A10D-8BAE-49BB-8794-80ADD2DC731B}" uniqueName="1" name="Match_ID" queryTableFieldId="1" dataDxfId="26"/>
    <tableColumn id="2" xr3:uid="{ED10384C-3174-4820-9B7E-25074DA1724F}" uniqueName="2" name="Date" queryTableFieldId="2" dataDxfId="25"/>
    <tableColumn id="3" xr3:uid="{7C2DD2F1-73C4-4369-B880-84C885FEF62D}" uniqueName="3" name="Venue_ID" queryTableFieldId="3" dataDxfId="24"/>
    <tableColumn id="4" xr3:uid="{146E2EEC-F7A2-45CD-BBFF-02F90EBAE2B3}" uniqueName="4" name="Team1_ID" queryTableFieldId="4" dataDxfId="23"/>
    <tableColumn id="5" xr3:uid="{147C7F82-54B8-43DF-9660-187457AFB29E}" uniqueName="5" name="Team2_ID" queryTableFieldId="5" dataDxfId="22"/>
    <tableColumn id="6" xr3:uid="{CB4B74B4-9DE7-496C-97B0-E6B5AE703E0A}" uniqueName="6" name="Toss_Winner" queryTableFieldId="6" dataDxfId="21"/>
    <tableColumn id="7" xr3:uid="{5E528A56-E3DC-499D-9E15-AE4101E9AF2E}" uniqueName="7" name="Match_Winner" queryTableFieldId="7" dataDxfId="20"/>
    <tableColumn id="8" xr3:uid="{91215F58-C59D-4F7B-93CA-D8D68D86C46F}" uniqueName="8" name="Man_of_Match" queryTableFieldId="8" dataDxfId="19"/>
    <tableColumn id="9" xr3:uid="{3E27A80F-18BB-477A-9686-D820A6DB91FD}" uniqueName="9" name="Team1_Runs" queryTableFieldId="9"/>
    <tableColumn id="10" xr3:uid="{316E24E7-E788-414D-9F66-AD6BC0E1DB19}" uniqueName="10" name="Team2_Runs" queryTableFieldId="10"/>
    <tableColumn id="11" xr3:uid="{C1CD9F4F-5D81-40CD-86FC-236E15433A82}" uniqueName="11" name="Team1_Wickets" queryTableFieldId="11"/>
    <tableColumn id="12" xr3:uid="{807BC5B2-7ACF-4D60-8570-DF29E0E4F831}" uniqueName="12" name="Team2_Wickets" queryTableFieldId="12"/>
    <tableColumn id="13" xr3:uid="{2DAE9F86-C317-43F3-9C2F-3A0CB6108792}" uniqueName="13" name="Overs_Team1" queryTableFieldId="13"/>
    <tableColumn id="14" xr3:uid="{A557A611-6EF9-469F-B9DC-347E55B77A87}" uniqueName="14" name="Overs_Team2"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CF5A46-1FA6-4441-A4C2-8E62F9F1AE2C}" name="dim_venue" displayName="dim_venue" ref="A1:D11" tableType="queryTable" totalsRowShown="0">
  <autoFilter ref="A1:D11" xr:uid="{8ACF5A46-1FA6-4441-A4C2-8E62F9F1AE2C}"/>
  <tableColumns count="4">
    <tableColumn id="1" xr3:uid="{06F99054-4F97-4F96-882D-8E9BB79B1454}" uniqueName="1" name="Venue_ID" queryTableFieldId="1" dataDxfId="18"/>
    <tableColumn id="2" xr3:uid="{B6F29346-66B4-45F2-AD0E-D7E9540AF27D}" uniqueName="2" name="Venue_Name" queryTableFieldId="2" dataDxfId="17"/>
    <tableColumn id="3" xr3:uid="{BCB2C3B8-DBA1-4999-BA66-CF991D29DA10}" uniqueName="3" name="City" queryTableFieldId="3" dataDxfId="16"/>
    <tableColumn id="4" xr3:uid="{C0CBDBA3-B632-4922-B2D9-09726ABA5B93}" uniqueName="4" name="Capacity" queryTableFieldId="4" dataDxf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29EF7E-16BB-4721-B062-AEAA64D54788}" name="dim_team" displayName="dim_team" ref="A1:G9" tableType="queryTable" totalsRowShown="0">
  <autoFilter ref="A1:G9" xr:uid="{8929EF7E-16BB-4721-B062-AEAA64D54788}"/>
  <tableColumns count="7">
    <tableColumn id="1" xr3:uid="{C9394E18-54ED-4C1B-B0CF-D37CFCFA0F04}" uniqueName="1" name="Team_ID" queryTableFieldId="1" dataDxfId="14"/>
    <tableColumn id="2" xr3:uid="{B3B0BFCB-8BF4-47C1-9068-D4F1E439F41E}" uniqueName="2" name="Team_Name" queryTableFieldId="2" dataDxfId="13"/>
    <tableColumn id="3" xr3:uid="{C7F6349B-523C-4F54-91D4-79BF8AF969AE}" uniqueName="3" name="Captain" queryTableFieldId="3" dataDxfId="12"/>
    <tableColumn id="4" xr3:uid="{C0D3550D-BA21-4FC6-8808-D9022520F112}" uniqueName="4" name="Coach" queryTableFieldId="4" dataDxfId="11"/>
    <tableColumn id="5" xr3:uid="{108BA81E-2601-4E54-89CA-BA9B5C659056}" uniqueName="5" name="Home_Ground" queryTableFieldId="5" dataDxfId="10"/>
    <tableColumn id="6" xr3:uid="{E8D6DC8A-9921-4868-85AF-30FBEBD6B628}" uniqueName="6" name="City" queryTableFieldId="6" dataDxfId="9"/>
    <tableColumn id="7" xr3:uid="{9068422D-F5F2-4090-B704-F18E371A11EA}" uniqueName="7" name="Owner" queryTableFieldId="7"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515EC3-6074-477D-8E39-0EE358CEFF5D}" name="dim_player" displayName="dim_player" ref="A1:H34" tableType="queryTable" totalsRowShown="0">
  <autoFilter ref="A1:H34" xr:uid="{03515EC3-6074-477D-8E39-0EE358CEFF5D}"/>
  <tableColumns count="8">
    <tableColumn id="1" xr3:uid="{EADEDD66-A72B-4A77-8B4C-966F1CBCD10F}" uniqueName="1" name="Player_ID" queryTableFieldId="1" dataDxfId="7"/>
    <tableColumn id="2" xr3:uid="{DFFB9CC1-05FF-4197-A018-DD607A19DED1}" uniqueName="2" name="Player_Name" queryTableFieldId="2" dataDxfId="6"/>
    <tableColumn id="3" xr3:uid="{09DF6E30-824D-457B-9B62-26A72A4B6B0F}" uniqueName="3" name="Team_ID" queryTableFieldId="3" dataDxfId="5"/>
    <tableColumn id="4" xr3:uid="{C9DB288D-B997-4977-A342-1434C1427A5B}" uniqueName="4" name="Role" queryTableFieldId="4" dataDxfId="4"/>
    <tableColumn id="5" xr3:uid="{79B867C4-DE72-4D68-954F-431E209BFAA4}" uniqueName="5" name="Nationality" queryTableFieldId="5" dataDxfId="3"/>
    <tableColumn id="6" xr3:uid="{60B5FB45-BDB7-4FAC-B12C-91954F545536}" uniqueName="6" name="Age" queryTableFieldId="6" dataDxfId="2"/>
    <tableColumn id="7" xr3:uid="{741B4CC8-1712-43BF-AFB0-C8B18BA0F68B}" uniqueName="7" name="Batting_Style" queryTableFieldId="7" dataDxfId="1"/>
    <tableColumn id="8" xr3:uid="{A4275651-2920-4606-AF5C-4CD02204A008}" uniqueName="8" name="Bowling_Style"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E534B-5433-49F8-BB0C-12CAC2546CC2}">
  <dimension ref="A1:K141"/>
  <sheetViews>
    <sheetView tabSelected="1" topLeftCell="A10" workbookViewId="0">
      <selection activeCell="M11" sqref="M11"/>
    </sheetView>
  </sheetViews>
  <sheetFormatPr defaultRowHeight="14.4" x14ac:dyDescent="0.3"/>
  <cols>
    <col min="1" max="1" width="11.44140625" bestFit="1" customWidth="1"/>
    <col min="2" max="2" width="11.21875" bestFit="1" customWidth="1"/>
    <col min="3" max="3" width="7.33203125" bestFit="1" customWidth="1"/>
    <col min="4" max="4" width="12.88671875" bestFit="1" customWidth="1"/>
    <col min="5" max="5" width="7.77734375" bestFit="1" customWidth="1"/>
    <col min="6" max="6" width="7.33203125" bestFit="1" customWidth="1"/>
    <col min="7" max="7" width="12.77734375" bestFit="1" customWidth="1"/>
    <col min="8" max="8" width="15.33203125" bestFit="1" customWidth="1"/>
    <col min="9" max="9" width="16.88671875" bestFit="1" customWidth="1"/>
    <col min="10" max="10" width="9.77734375" bestFit="1" customWidth="1"/>
    <col min="11" max="11" width="11.109375" bestFit="1" customWidth="1"/>
  </cols>
  <sheetData>
    <row r="1" spans="1:11" x14ac:dyDescent="0.3">
      <c r="A1" t="s">
        <v>201</v>
      </c>
      <c r="B1" t="s">
        <v>0</v>
      </c>
      <c r="C1" t="s">
        <v>274</v>
      </c>
      <c r="D1" t="s">
        <v>275</v>
      </c>
      <c r="E1" t="s">
        <v>276</v>
      </c>
      <c r="F1" t="s">
        <v>277</v>
      </c>
      <c r="G1" t="s">
        <v>278</v>
      </c>
      <c r="H1" t="s">
        <v>279</v>
      </c>
      <c r="I1" t="s">
        <v>280</v>
      </c>
      <c r="J1" t="s">
        <v>281</v>
      </c>
      <c r="K1" t="s">
        <v>282</v>
      </c>
    </row>
    <row r="2" spans="1:11" x14ac:dyDescent="0.3">
      <c r="A2" t="s">
        <v>214</v>
      </c>
      <c r="B2" t="s">
        <v>34</v>
      </c>
      <c r="C2">
        <v>58</v>
      </c>
      <c r="D2">
        <v>32</v>
      </c>
      <c r="E2">
        <v>6</v>
      </c>
      <c r="F2">
        <v>3</v>
      </c>
      <c r="G2">
        <v>181.25</v>
      </c>
      <c r="H2">
        <v>0</v>
      </c>
      <c r="I2">
        <v>0</v>
      </c>
      <c r="J2">
        <v>0</v>
      </c>
      <c r="K2">
        <v>0</v>
      </c>
    </row>
    <row r="3" spans="1:11" x14ac:dyDescent="0.3">
      <c r="A3" t="s">
        <v>215</v>
      </c>
      <c r="B3" t="s">
        <v>119</v>
      </c>
      <c r="C3">
        <v>95</v>
      </c>
      <c r="D3">
        <v>58</v>
      </c>
      <c r="E3">
        <v>10</v>
      </c>
      <c r="F3">
        <v>4</v>
      </c>
      <c r="G3">
        <v>163.79</v>
      </c>
      <c r="H3">
        <v>0</v>
      </c>
      <c r="I3">
        <v>0</v>
      </c>
      <c r="J3">
        <v>0</v>
      </c>
      <c r="K3">
        <v>0</v>
      </c>
    </row>
    <row r="4" spans="1:11" x14ac:dyDescent="0.3">
      <c r="A4" t="s">
        <v>216</v>
      </c>
      <c r="B4" t="s">
        <v>63</v>
      </c>
      <c r="C4">
        <v>34</v>
      </c>
      <c r="D4">
        <v>18</v>
      </c>
      <c r="E4">
        <v>2</v>
      </c>
      <c r="F4">
        <v>3</v>
      </c>
      <c r="G4">
        <v>188.89</v>
      </c>
      <c r="H4">
        <v>4</v>
      </c>
      <c r="I4">
        <v>38</v>
      </c>
      <c r="J4">
        <v>3</v>
      </c>
      <c r="K4">
        <v>9.5</v>
      </c>
    </row>
    <row r="5" spans="1:11" x14ac:dyDescent="0.3">
      <c r="A5" t="s">
        <v>217</v>
      </c>
      <c r="B5" t="s">
        <v>84</v>
      </c>
      <c r="C5">
        <v>65</v>
      </c>
      <c r="D5">
        <v>40</v>
      </c>
      <c r="E5">
        <v>7</v>
      </c>
      <c r="F5">
        <v>2</v>
      </c>
      <c r="G5">
        <v>162.5</v>
      </c>
      <c r="H5">
        <v>0</v>
      </c>
      <c r="I5">
        <v>0</v>
      </c>
      <c r="J5">
        <v>0</v>
      </c>
      <c r="K5">
        <v>0</v>
      </c>
    </row>
    <row r="6" spans="1:11" x14ac:dyDescent="0.3">
      <c r="A6" t="s">
        <v>218</v>
      </c>
      <c r="B6" t="s">
        <v>95</v>
      </c>
      <c r="C6">
        <v>88</v>
      </c>
      <c r="D6">
        <v>52</v>
      </c>
      <c r="E6">
        <v>8</v>
      </c>
      <c r="F6">
        <v>3</v>
      </c>
      <c r="G6">
        <v>169.23</v>
      </c>
      <c r="H6">
        <v>0</v>
      </c>
      <c r="I6">
        <v>0</v>
      </c>
      <c r="J6">
        <v>0</v>
      </c>
      <c r="K6">
        <v>0</v>
      </c>
    </row>
    <row r="7" spans="1:11" x14ac:dyDescent="0.3">
      <c r="A7" t="s">
        <v>219</v>
      </c>
      <c r="B7" t="s">
        <v>66</v>
      </c>
      <c r="C7">
        <v>18</v>
      </c>
      <c r="D7">
        <v>10</v>
      </c>
      <c r="E7">
        <v>1</v>
      </c>
      <c r="F7">
        <v>1</v>
      </c>
      <c r="G7">
        <v>180</v>
      </c>
      <c r="H7">
        <v>4</v>
      </c>
      <c r="I7">
        <v>22</v>
      </c>
      <c r="J7">
        <v>2</v>
      </c>
      <c r="K7">
        <v>5.5</v>
      </c>
    </row>
    <row r="8" spans="1:11" x14ac:dyDescent="0.3">
      <c r="A8" t="s">
        <v>220</v>
      </c>
      <c r="B8" t="s">
        <v>37</v>
      </c>
      <c r="C8">
        <v>0</v>
      </c>
      <c r="D8">
        <v>0</v>
      </c>
      <c r="E8">
        <v>0</v>
      </c>
      <c r="F8">
        <v>0</v>
      </c>
      <c r="G8">
        <v>0</v>
      </c>
      <c r="H8">
        <v>4</v>
      </c>
      <c r="I8">
        <v>24</v>
      </c>
      <c r="J8">
        <v>3</v>
      </c>
      <c r="K8">
        <v>6</v>
      </c>
    </row>
    <row r="9" spans="1:11" x14ac:dyDescent="0.3">
      <c r="A9" t="s">
        <v>221</v>
      </c>
      <c r="B9" t="s">
        <v>117</v>
      </c>
      <c r="C9">
        <v>56</v>
      </c>
      <c r="D9">
        <v>28</v>
      </c>
      <c r="E9">
        <v>3</v>
      </c>
      <c r="F9">
        <v>5</v>
      </c>
      <c r="G9">
        <v>200</v>
      </c>
      <c r="H9">
        <v>0</v>
      </c>
      <c r="I9">
        <v>0</v>
      </c>
      <c r="J9">
        <v>0</v>
      </c>
      <c r="K9">
        <v>0</v>
      </c>
    </row>
    <row r="10" spans="1:11" x14ac:dyDescent="0.3">
      <c r="A10" t="s">
        <v>222</v>
      </c>
      <c r="B10" t="s">
        <v>68</v>
      </c>
      <c r="C10">
        <v>0</v>
      </c>
      <c r="D10">
        <v>0</v>
      </c>
      <c r="E10">
        <v>0</v>
      </c>
      <c r="F10">
        <v>0</v>
      </c>
      <c r="G10">
        <v>0</v>
      </c>
      <c r="H10">
        <v>3.3</v>
      </c>
      <c r="I10">
        <v>19</v>
      </c>
      <c r="J10">
        <v>4</v>
      </c>
      <c r="K10">
        <v>5.43</v>
      </c>
    </row>
    <row r="11" spans="1:11" x14ac:dyDescent="0.3">
      <c r="A11" t="s">
        <v>223</v>
      </c>
      <c r="B11" t="s">
        <v>75</v>
      </c>
      <c r="C11">
        <v>0</v>
      </c>
      <c r="D11">
        <v>0</v>
      </c>
      <c r="E11">
        <v>0</v>
      </c>
      <c r="F11">
        <v>0</v>
      </c>
      <c r="G11">
        <v>0</v>
      </c>
      <c r="H11">
        <v>4</v>
      </c>
      <c r="I11">
        <v>17</v>
      </c>
      <c r="J11">
        <v>2</v>
      </c>
      <c r="K11">
        <v>4.25</v>
      </c>
    </row>
    <row r="12" spans="1:11" x14ac:dyDescent="0.3">
      <c r="A12" t="s">
        <v>224</v>
      </c>
      <c r="B12" t="s">
        <v>98</v>
      </c>
      <c r="C12">
        <v>75</v>
      </c>
      <c r="D12">
        <v>45</v>
      </c>
      <c r="E12">
        <v>5</v>
      </c>
      <c r="F12">
        <v>4</v>
      </c>
      <c r="G12">
        <v>166.67</v>
      </c>
      <c r="H12">
        <v>0</v>
      </c>
      <c r="I12">
        <v>0</v>
      </c>
      <c r="J12">
        <v>0</v>
      </c>
      <c r="K12">
        <v>0</v>
      </c>
    </row>
    <row r="13" spans="1:11" x14ac:dyDescent="0.3">
      <c r="A13" t="s">
        <v>225</v>
      </c>
      <c r="B13" t="s">
        <v>41</v>
      </c>
      <c r="C13">
        <v>48</v>
      </c>
      <c r="D13">
        <v>32</v>
      </c>
      <c r="E13">
        <v>4</v>
      </c>
      <c r="F13">
        <v>1</v>
      </c>
      <c r="G13">
        <v>150</v>
      </c>
      <c r="H13">
        <v>0</v>
      </c>
      <c r="I13">
        <v>0</v>
      </c>
      <c r="J13">
        <v>0</v>
      </c>
      <c r="K13">
        <v>0</v>
      </c>
    </row>
    <row r="14" spans="1:11" x14ac:dyDescent="0.3">
      <c r="A14" t="s">
        <v>226</v>
      </c>
      <c r="B14" t="s">
        <v>47</v>
      </c>
      <c r="C14">
        <v>105</v>
      </c>
      <c r="D14">
        <v>60</v>
      </c>
      <c r="E14">
        <v>12</v>
      </c>
      <c r="F14">
        <v>3</v>
      </c>
      <c r="G14">
        <v>175</v>
      </c>
      <c r="H14">
        <v>0</v>
      </c>
      <c r="I14">
        <v>0</v>
      </c>
      <c r="J14">
        <v>0</v>
      </c>
      <c r="K14">
        <v>0</v>
      </c>
    </row>
    <row r="15" spans="1:11" x14ac:dyDescent="0.3">
      <c r="A15" t="s">
        <v>227</v>
      </c>
      <c r="B15" t="s">
        <v>8</v>
      </c>
      <c r="C15">
        <v>88</v>
      </c>
      <c r="D15">
        <v>48</v>
      </c>
      <c r="E15">
        <v>9</v>
      </c>
      <c r="F15">
        <v>4</v>
      </c>
      <c r="G15">
        <v>183.33</v>
      </c>
      <c r="H15">
        <v>0</v>
      </c>
      <c r="I15">
        <v>0</v>
      </c>
      <c r="J15">
        <v>0</v>
      </c>
      <c r="K15">
        <v>0</v>
      </c>
    </row>
    <row r="16" spans="1:11" x14ac:dyDescent="0.3">
      <c r="A16" t="s">
        <v>228</v>
      </c>
      <c r="B16" t="s">
        <v>111</v>
      </c>
      <c r="C16">
        <v>65</v>
      </c>
      <c r="D16">
        <v>40</v>
      </c>
      <c r="E16">
        <v>6</v>
      </c>
      <c r="F16">
        <v>2</v>
      </c>
      <c r="G16">
        <v>162.5</v>
      </c>
      <c r="H16">
        <v>0</v>
      </c>
      <c r="I16">
        <v>0</v>
      </c>
      <c r="J16">
        <v>0</v>
      </c>
      <c r="K16">
        <v>0</v>
      </c>
    </row>
    <row r="17" spans="1:11" x14ac:dyDescent="0.3">
      <c r="A17" t="s">
        <v>229</v>
      </c>
      <c r="B17" t="s">
        <v>101</v>
      </c>
      <c r="C17">
        <v>0</v>
      </c>
      <c r="D17">
        <v>0</v>
      </c>
      <c r="E17">
        <v>0</v>
      </c>
      <c r="F17">
        <v>0</v>
      </c>
      <c r="G17">
        <v>0</v>
      </c>
      <c r="H17">
        <v>4</v>
      </c>
      <c r="I17">
        <v>22</v>
      </c>
      <c r="J17">
        <v>3</v>
      </c>
      <c r="K17">
        <v>5.5</v>
      </c>
    </row>
    <row r="18" spans="1:11" x14ac:dyDescent="0.3">
      <c r="A18" t="s">
        <v>230</v>
      </c>
      <c r="B18" t="s">
        <v>34</v>
      </c>
      <c r="C18">
        <v>55</v>
      </c>
      <c r="D18">
        <v>30</v>
      </c>
      <c r="E18">
        <v>5</v>
      </c>
      <c r="F18">
        <v>3</v>
      </c>
      <c r="G18">
        <v>183.33</v>
      </c>
      <c r="H18">
        <v>0</v>
      </c>
      <c r="I18">
        <v>0</v>
      </c>
      <c r="J18">
        <v>0</v>
      </c>
      <c r="K18">
        <v>0</v>
      </c>
    </row>
    <row r="19" spans="1:11" x14ac:dyDescent="0.3">
      <c r="A19" t="s">
        <v>231</v>
      </c>
      <c r="B19" t="s">
        <v>53</v>
      </c>
      <c r="C19">
        <v>68</v>
      </c>
      <c r="D19">
        <v>40</v>
      </c>
      <c r="E19">
        <v>6</v>
      </c>
      <c r="F19">
        <v>3</v>
      </c>
      <c r="G19">
        <v>170</v>
      </c>
      <c r="H19">
        <v>0</v>
      </c>
      <c r="I19">
        <v>0</v>
      </c>
      <c r="J19">
        <v>0</v>
      </c>
      <c r="K19">
        <v>0</v>
      </c>
    </row>
    <row r="20" spans="1:11" x14ac:dyDescent="0.3">
      <c r="A20" t="s">
        <v>232</v>
      </c>
      <c r="B20" t="s">
        <v>89</v>
      </c>
      <c r="C20">
        <v>0</v>
      </c>
      <c r="D20">
        <v>0</v>
      </c>
      <c r="E20">
        <v>0</v>
      </c>
      <c r="F20">
        <v>0</v>
      </c>
      <c r="G20">
        <v>0</v>
      </c>
      <c r="H20">
        <v>4</v>
      </c>
      <c r="I20">
        <v>20</v>
      </c>
      <c r="J20">
        <v>3</v>
      </c>
      <c r="K20">
        <v>5</v>
      </c>
    </row>
    <row r="21" spans="1:11" x14ac:dyDescent="0.3">
      <c r="A21" t="s">
        <v>233</v>
      </c>
      <c r="B21" t="s">
        <v>79</v>
      </c>
      <c r="C21">
        <v>50</v>
      </c>
      <c r="D21">
        <v>30</v>
      </c>
      <c r="E21">
        <v>4</v>
      </c>
      <c r="F21">
        <v>3</v>
      </c>
      <c r="G21">
        <v>166.67</v>
      </c>
      <c r="H21">
        <v>0</v>
      </c>
      <c r="I21">
        <v>0</v>
      </c>
      <c r="J21">
        <v>0</v>
      </c>
      <c r="K21">
        <v>0</v>
      </c>
    </row>
    <row r="22" spans="1:11" x14ac:dyDescent="0.3">
      <c r="A22" t="s">
        <v>234</v>
      </c>
      <c r="B22" t="s">
        <v>16</v>
      </c>
      <c r="C22">
        <v>0</v>
      </c>
      <c r="D22">
        <v>0</v>
      </c>
      <c r="E22">
        <v>0</v>
      </c>
      <c r="F22">
        <v>0</v>
      </c>
      <c r="G22">
        <v>0</v>
      </c>
      <c r="H22">
        <v>4</v>
      </c>
      <c r="I22">
        <v>26</v>
      </c>
      <c r="J22">
        <v>3</v>
      </c>
      <c r="K22">
        <v>6.5</v>
      </c>
    </row>
    <row r="23" spans="1:11" x14ac:dyDescent="0.3">
      <c r="A23" t="s">
        <v>235</v>
      </c>
      <c r="B23" t="s">
        <v>115</v>
      </c>
      <c r="C23">
        <v>0</v>
      </c>
      <c r="D23">
        <v>0</v>
      </c>
      <c r="E23">
        <v>0</v>
      </c>
      <c r="F23">
        <v>0</v>
      </c>
      <c r="G23">
        <v>0</v>
      </c>
      <c r="H23">
        <v>4</v>
      </c>
      <c r="I23">
        <v>23</v>
      </c>
      <c r="J23">
        <v>2</v>
      </c>
      <c r="K23">
        <v>5.75</v>
      </c>
    </row>
    <row r="24" spans="1:11" x14ac:dyDescent="0.3">
      <c r="A24" t="s">
        <v>236</v>
      </c>
      <c r="B24" t="s">
        <v>47</v>
      </c>
      <c r="C24">
        <v>80</v>
      </c>
      <c r="D24">
        <v>55</v>
      </c>
      <c r="E24">
        <v>7</v>
      </c>
      <c r="F24">
        <v>2</v>
      </c>
      <c r="G24">
        <v>145.44999999999999</v>
      </c>
      <c r="H24">
        <v>0</v>
      </c>
      <c r="I24">
        <v>0</v>
      </c>
      <c r="J24">
        <v>0</v>
      </c>
      <c r="K24">
        <v>0</v>
      </c>
    </row>
    <row r="25" spans="1:11" x14ac:dyDescent="0.3">
      <c r="A25" t="s">
        <v>237</v>
      </c>
      <c r="B25" t="s">
        <v>21</v>
      </c>
      <c r="C25">
        <v>78</v>
      </c>
      <c r="D25">
        <v>45</v>
      </c>
      <c r="E25">
        <v>8</v>
      </c>
      <c r="F25">
        <v>3</v>
      </c>
      <c r="G25">
        <v>173.33</v>
      </c>
      <c r="H25">
        <v>0</v>
      </c>
      <c r="I25">
        <v>0</v>
      </c>
      <c r="J25">
        <v>0</v>
      </c>
      <c r="K25">
        <v>0</v>
      </c>
    </row>
    <row r="26" spans="1:11" x14ac:dyDescent="0.3">
      <c r="A26" t="s">
        <v>238</v>
      </c>
      <c r="B26" t="s">
        <v>119</v>
      </c>
      <c r="C26">
        <v>90</v>
      </c>
      <c r="D26">
        <v>50</v>
      </c>
      <c r="E26">
        <v>11</v>
      </c>
      <c r="F26">
        <v>3</v>
      </c>
      <c r="G26">
        <v>180</v>
      </c>
      <c r="H26">
        <v>0</v>
      </c>
      <c r="I26">
        <v>0</v>
      </c>
      <c r="J26">
        <v>0</v>
      </c>
      <c r="K26">
        <v>0</v>
      </c>
    </row>
    <row r="27" spans="1:11" x14ac:dyDescent="0.3">
      <c r="A27" t="s">
        <v>239</v>
      </c>
      <c r="B27" t="s">
        <v>44</v>
      </c>
      <c r="C27">
        <v>0</v>
      </c>
      <c r="D27">
        <v>0</v>
      </c>
      <c r="E27">
        <v>0</v>
      </c>
      <c r="F27">
        <v>0</v>
      </c>
      <c r="G27">
        <v>0</v>
      </c>
      <c r="H27">
        <v>4</v>
      </c>
      <c r="I27">
        <v>21</v>
      </c>
      <c r="J27">
        <v>3</v>
      </c>
      <c r="K27">
        <v>5.25</v>
      </c>
    </row>
    <row r="28" spans="1:11" x14ac:dyDescent="0.3">
      <c r="A28" t="s">
        <v>240</v>
      </c>
      <c r="B28" t="s">
        <v>84</v>
      </c>
      <c r="C28">
        <v>102</v>
      </c>
      <c r="D28">
        <v>59</v>
      </c>
      <c r="E28">
        <v>10</v>
      </c>
      <c r="F28">
        <v>4</v>
      </c>
      <c r="G28">
        <v>172.88</v>
      </c>
      <c r="H28">
        <v>0</v>
      </c>
      <c r="I28">
        <v>0</v>
      </c>
      <c r="J28">
        <v>0</v>
      </c>
      <c r="K28">
        <v>0</v>
      </c>
    </row>
    <row r="29" spans="1:11" x14ac:dyDescent="0.3">
      <c r="A29" t="s">
        <v>241</v>
      </c>
      <c r="B29" t="s">
        <v>27</v>
      </c>
      <c r="C29">
        <v>60</v>
      </c>
      <c r="D29">
        <v>35</v>
      </c>
      <c r="E29">
        <v>5</v>
      </c>
      <c r="F29">
        <v>3</v>
      </c>
      <c r="G29">
        <v>171.43</v>
      </c>
      <c r="H29">
        <v>0</v>
      </c>
      <c r="I29">
        <v>0</v>
      </c>
      <c r="J29">
        <v>0</v>
      </c>
      <c r="K29">
        <v>0</v>
      </c>
    </row>
    <row r="30" spans="1:11" x14ac:dyDescent="0.3">
      <c r="A30" t="s">
        <v>242</v>
      </c>
      <c r="B30" t="s">
        <v>105</v>
      </c>
      <c r="C30">
        <v>70</v>
      </c>
      <c r="D30">
        <v>42</v>
      </c>
      <c r="E30">
        <v>8</v>
      </c>
      <c r="F30">
        <v>2</v>
      </c>
      <c r="G30">
        <v>166.67</v>
      </c>
      <c r="H30">
        <v>0</v>
      </c>
      <c r="I30">
        <v>0</v>
      </c>
      <c r="J30">
        <v>0</v>
      </c>
      <c r="K30">
        <v>0</v>
      </c>
    </row>
    <row r="31" spans="1:11" x14ac:dyDescent="0.3">
      <c r="A31" t="s">
        <v>243</v>
      </c>
      <c r="B31" t="s">
        <v>59</v>
      </c>
      <c r="C31">
        <v>85</v>
      </c>
      <c r="D31">
        <v>45</v>
      </c>
      <c r="E31">
        <v>7</v>
      </c>
      <c r="F31">
        <v>4</v>
      </c>
      <c r="G31">
        <v>188.89</v>
      </c>
      <c r="H31">
        <v>0</v>
      </c>
      <c r="I31">
        <v>0</v>
      </c>
      <c r="J31">
        <v>0</v>
      </c>
      <c r="K31">
        <v>0</v>
      </c>
    </row>
    <row r="32" spans="1:11" x14ac:dyDescent="0.3">
      <c r="A32" t="s">
        <v>244</v>
      </c>
      <c r="B32" t="s">
        <v>56</v>
      </c>
      <c r="C32">
        <v>42</v>
      </c>
      <c r="D32">
        <v>21</v>
      </c>
      <c r="E32">
        <v>3</v>
      </c>
      <c r="F32">
        <v>3</v>
      </c>
      <c r="G32">
        <v>200</v>
      </c>
      <c r="H32">
        <v>0</v>
      </c>
      <c r="I32">
        <v>0</v>
      </c>
      <c r="J32">
        <v>0</v>
      </c>
      <c r="K32">
        <v>0</v>
      </c>
    </row>
    <row r="33" spans="1:11" x14ac:dyDescent="0.3">
      <c r="A33" t="s">
        <v>245</v>
      </c>
      <c r="B33" t="s">
        <v>81</v>
      </c>
      <c r="C33">
        <v>0</v>
      </c>
      <c r="D33">
        <v>0</v>
      </c>
      <c r="E33">
        <v>0</v>
      </c>
      <c r="F33">
        <v>0</v>
      </c>
      <c r="G33">
        <v>0</v>
      </c>
      <c r="H33">
        <v>4</v>
      </c>
      <c r="I33">
        <v>25</v>
      </c>
      <c r="J33">
        <v>2</v>
      </c>
      <c r="K33">
        <v>6.25</v>
      </c>
    </row>
    <row r="34" spans="1:11" x14ac:dyDescent="0.3">
      <c r="A34" t="s">
        <v>246</v>
      </c>
      <c r="B34" t="s">
        <v>107</v>
      </c>
      <c r="C34">
        <v>0</v>
      </c>
      <c r="D34">
        <v>0</v>
      </c>
      <c r="E34">
        <v>0</v>
      </c>
      <c r="F34">
        <v>0</v>
      </c>
      <c r="G34">
        <v>0</v>
      </c>
      <c r="H34">
        <v>4</v>
      </c>
      <c r="I34">
        <v>20</v>
      </c>
      <c r="J34">
        <v>3</v>
      </c>
      <c r="K34">
        <v>5</v>
      </c>
    </row>
    <row r="35" spans="1:11" x14ac:dyDescent="0.3">
      <c r="A35" t="s">
        <v>247</v>
      </c>
      <c r="B35" t="s">
        <v>63</v>
      </c>
      <c r="C35">
        <v>90</v>
      </c>
      <c r="D35">
        <v>48</v>
      </c>
      <c r="E35">
        <v>8</v>
      </c>
      <c r="F35">
        <v>5</v>
      </c>
      <c r="G35">
        <v>187.5</v>
      </c>
      <c r="H35">
        <v>4</v>
      </c>
      <c r="I35">
        <v>35</v>
      </c>
      <c r="J35">
        <v>1</v>
      </c>
      <c r="K35">
        <v>8.75</v>
      </c>
    </row>
    <row r="36" spans="1:11" x14ac:dyDescent="0.3">
      <c r="A36" t="s">
        <v>248</v>
      </c>
      <c r="B36" t="s">
        <v>117</v>
      </c>
      <c r="C36">
        <v>110</v>
      </c>
      <c r="D36">
        <v>60</v>
      </c>
      <c r="E36">
        <v>10</v>
      </c>
      <c r="F36">
        <v>6</v>
      </c>
      <c r="G36">
        <v>183.33</v>
      </c>
      <c r="H36">
        <v>0</v>
      </c>
      <c r="I36">
        <v>0</v>
      </c>
      <c r="J36">
        <v>0</v>
      </c>
      <c r="K36">
        <v>0</v>
      </c>
    </row>
    <row r="37" spans="1:11" x14ac:dyDescent="0.3">
      <c r="A37" t="s">
        <v>249</v>
      </c>
      <c r="B37" t="s">
        <v>31</v>
      </c>
      <c r="C37">
        <v>30</v>
      </c>
      <c r="D37">
        <v>20</v>
      </c>
      <c r="E37">
        <v>2</v>
      </c>
      <c r="F37">
        <v>2</v>
      </c>
      <c r="G37">
        <v>150</v>
      </c>
      <c r="H37">
        <v>4</v>
      </c>
      <c r="I37">
        <v>25</v>
      </c>
      <c r="J37">
        <v>2</v>
      </c>
      <c r="K37">
        <v>6.25</v>
      </c>
    </row>
    <row r="38" spans="1:11" x14ac:dyDescent="0.3">
      <c r="A38" t="s">
        <v>250</v>
      </c>
      <c r="B38" t="s">
        <v>91</v>
      </c>
      <c r="C38">
        <v>0</v>
      </c>
      <c r="D38">
        <v>0</v>
      </c>
      <c r="E38">
        <v>0</v>
      </c>
      <c r="F38">
        <v>0</v>
      </c>
      <c r="G38">
        <v>0</v>
      </c>
      <c r="H38">
        <v>3.3</v>
      </c>
      <c r="I38">
        <v>18</v>
      </c>
      <c r="J38">
        <v>4</v>
      </c>
      <c r="K38">
        <v>5.14</v>
      </c>
    </row>
    <row r="39" spans="1:11" x14ac:dyDescent="0.3">
      <c r="A39" t="s">
        <v>251</v>
      </c>
      <c r="B39" t="s">
        <v>37</v>
      </c>
      <c r="C39">
        <v>0</v>
      </c>
      <c r="D39">
        <v>0</v>
      </c>
      <c r="E39">
        <v>0</v>
      </c>
      <c r="F39">
        <v>0</v>
      </c>
      <c r="G39">
        <v>0</v>
      </c>
      <c r="H39">
        <v>4</v>
      </c>
      <c r="I39">
        <v>22</v>
      </c>
      <c r="J39">
        <v>2</v>
      </c>
      <c r="K39">
        <v>5.5</v>
      </c>
    </row>
    <row r="40" spans="1:11" x14ac:dyDescent="0.3">
      <c r="A40" t="s">
        <v>252</v>
      </c>
      <c r="B40" t="s">
        <v>47</v>
      </c>
      <c r="C40">
        <v>120</v>
      </c>
      <c r="D40">
        <v>60</v>
      </c>
      <c r="E40">
        <v>12</v>
      </c>
      <c r="F40">
        <v>7</v>
      </c>
      <c r="G40">
        <v>200</v>
      </c>
      <c r="H40">
        <v>0</v>
      </c>
      <c r="I40">
        <v>0</v>
      </c>
      <c r="J40">
        <v>0</v>
      </c>
      <c r="K40">
        <v>0</v>
      </c>
    </row>
    <row r="41" spans="1:11" x14ac:dyDescent="0.3">
      <c r="A41" t="s">
        <v>253</v>
      </c>
      <c r="B41" t="s">
        <v>95</v>
      </c>
      <c r="C41">
        <v>85</v>
      </c>
      <c r="D41">
        <v>55</v>
      </c>
      <c r="E41">
        <v>9</v>
      </c>
      <c r="F41">
        <v>2</v>
      </c>
      <c r="G41">
        <v>154.55000000000001</v>
      </c>
      <c r="H41">
        <v>0</v>
      </c>
      <c r="I41">
        <v>0</v>
      </c>
      <c r="J41">
        <v>0</v>
      </c>
      <c r="K41">
        <v>0</v>
      </c>
    </row>
    <row r="42" spans="1:11" x14ac:dyDescent="0.3">
      <c r="A42" t="s">
        <v>254</v>
      </c>
      <c r="B42" t="s">
        <v>111</v>
      </c>
      <c r="C42">
        <v>70</v>
      </c>
      <c r="D42">
        <v>40</v>
      </c>
      <c r="E42">
        <v>7</v>
      </c>
      <c r="F42">
        <v>3</v>
      </c>
      <c r="G42">
        <v>175</v>
      </c>
      <c r="H42">
        <v>0</v>
      </c>
      <c r="I42">
        <v>0</v>
      </c>
      <c r="J42">
        <v>0</v>
      </c>
      <c r="K42">
        <v>0</v>
      </c>
    </row>
    <row r="43" spans="1:11" x14ac:dyDescent="0.3">
      <c r="A43" t="s">
        <v>255</v>
      </c>
      <c r="B43" t="s">
        <v>71</v>
      </c>
      <c r="C43">
        <v>90</v>
      </c>
      <c r="D43">
        <v>50</v>
      </c>
      <c r="E43">
        <v>9</v>
      </c>
      <c r="F43">
        <v>4</v>
      </c>
      <c r="G43">
        <v>180</v>
      </c>
      <c r="H43">
        <v>0</v>
      </c>
      <c r="I43">
        <v>0</v>
      </c>
      <c r="J43">
        <v>0</v>
      </c>
      <c r="K43">
        <v>0</v>
      </c>
    </row>
    <row r="44" spans="1:11" x14ac:dyDescent="0.3">
      <c r="A44" t="s">
        <v>256</v>
      </c>
      <c r="B44" t="s">
        <v>51</v>
      </c>
      <c r="C44">
        <v>0</v>
      </c>
      <c r="D44">
        <v>0</v>
      </c>
      <c r="E44">
        <v>0</v>
      </c>
      <c r="F44">
        <v>0</v>
      </c>
      <c r="G44">
        <v>0</v>
      </c>
      <c r="H44">
        <v>4</v>
      </c>
      <c r="I44">
        <v>25</v>
      </c>
      <c r="J44">
        <v>3</v>
      </c>
      <c r="K44">
        <v>6.25</v>
      </c>
    </row>
    <row r="45" spans="1:11" x14ac:dyDescent="0.3">
      <c r="A45" t="s">
        <v>257</v>
      </c>
      <c r="B45" t="s">
        <v>59</v>
      </c>
      <c r="C45">
        <v>105</v>
      </c>
      <c r="D45">
        <v>55</v>
      </c>
      <c r="E45">
        <v>10</v>
      </c>
      <c r="F45">
        <v>5</v>
      </c>
      <c r="G45">
        <v>190.91</v>
      </c>
      <c r="H45">
        <v>0</v>
      </c>
      <c r="I45">
        <v>0</v>
      </c>
      <c r="J45">
        <v>0</v>
      </c>
      <c r="K45">
        <v>0</v>
      </c>
    </row>
    <row r="46" spans="1:11" x14ac:dyDescent="0.3">
      <c r="A46" t="s">
        <v>258</v>
      </c>
      <c r="B46" t="s">
        <v>119</v>
      </c>
      <c r="C46">
        <v>95</v>
      </c>
      <c r="D46">
        <v>58</v>
      </c>
      <c r="E46">
        <v>10</v>
      </c>
      <c r="F46">
        <v>4</v>
      </c>
      <c r="G46">
        <v>163.79</v>
      </c>
      <c r="H46">
        <v>0</v>
      </c>
      <c r="I46">
        <v>0</v>
      </c>
      <c r="J46">
        <v>0</v>
      </c>
      <c r="K46">
        <v>0</v>
      </c>
    </row>
    <row r="47" spans="1:11" x14ac:dyDescent="0.3">
      <c r="A47" t="s">
        <v>259</v>
      </c>
      <c r="B47" t="s">
        <v>34</v>
      </c>
      <c r="C47">
        <v>58</v>
      </c>
      <c r="D47">
        <v>32</v>
      </c>
      <c r="E47">
        <v>6</v>
      </c>
      <c r="F47">
        <v>3</v>
      </c>
      <c r="G47">
        <v>181.25</v>
      </c>
      <c r="H47">
        <v>0</v>
      </c>
      <c r="I47">
        <v>0</v>
      </c>
      <c r="J47">
        <v>0</v>
      </c>
      <c r="K47">
        <v>0</v>
      </c>
    </row>
    <row r="48" spans="1:11" x14ac:dyDescent="0.3">
      <c r="A48" t="s">
        <v>260</v>
      </c>
      <c r="B48" t="s">
        <v>63</v>
      </c>
      <c r="C48">
        <v>34</v>
      </c>
      <c r="D48">
        <v>18</v>
      </c>
      <c r="E48">
        <v>2</v>
      </c>
      <c r="F48">
        <v>3</v>
      </c>
      <c r="G48">
        <v>188.89</v>
      </c>
      <c r="H48">
        <v>4</v>
      </c>
      <c r="I48">
        <v>38</v>
      </c>
      <c r="J48">
        <v>3</v>
      </c>
      <c r="K48">
        <v>9.5</v>
      </c>
    </row>
    <row r="49" spans="1:11" x14ac:dyDescent="0.3">
      <c r="A49" t="s">
        <v>261</v>
      </c>
      <c r="B49" t="s">
        <v>84</v>
      </c>
      <c r="C49">
        <v>65</v>
      </c>
      <c r="D49">
        <v>40</v>
      </c>
      <c r="E49">
        <v>7</v>
      </c>
      <c r="F49">
        <v>2</v>
      </c>
      <c r="G49">
        <v>162.5</v>
      </c>
      <c r="H49">
        <v>0</v>
      </c>
      <c r="I49">
        <v>0</v>
      </c>
      <c r="J49">
        <v>0</v>
      </c>
      <c r="K49">
        <v>0</v>
      </c>
    </row>
    <row r="50" spans="1:11" x14ac:dyDescent="0.3">
      <c r="A50" t="s">
        <v>262</v>
      </c>
      <c r="B50" t="s">
        <v>95</v>
      </c>
      <c r="C50">
        <v>88</v>
      </c>
      <c r="D50">
        <v>52</v>
      </c>
      <c r="E50">
        <v>8</v>
      </c>
      <c r="F50">
        <v>3</v>
      </c>
      <c r="G50">
        <v>169.23</v>
      </c>
      <c r="H50">
        <v>0</v>
      </c>
      <c r="I50">
        <v>0</v>
      </c>
      <c r="J50">
        <v>0</v>
      </c>
      <c r="K50">
        <v>0</v>
      </c>
    </row>
    <row r="51" spans="1:11" x14ac:dyDescent="0.3">
      <c r="A51" t="s">
        <v>263</v>
      </c>
      <c r="B51" t="s">
        <v>66</v>
      </c>
      <c r="C51">
        <v>18</v>
      </c>
      <c r="D51">
        <v>10</v>
      </c>
      <c r="E51">
        <v>1</v>
      </c>
      <c r="F51">
        <v>1</v>
      </c>
      <c r="G51">
        <v>180</v>
      </c>
      <c r="H51">
        <v>4</v>
      </c>
      <c r="I51">
        <v>22</v>
      </c>
      <c r="J51">
        <v>2</v>
      </c>
      <c r="K51">
        <v>5.5</v>
      </c>
    </row>
    <row r="52" spans="1:11" x14ac:dyDescent="0.3">
      <c r="A52" t="s">
        <v>264</v>
      </c>
      <c r="B52" t="s">
        <v>37</v>
      </c>
      <c r="C52">
        <v>0</v>
      </c>
      <c r="D52">
        <v>0</v>
      </c>
      <c r="E52">
        <v>0</v>
      </c>
      <c r="F52">
        <v>0</v>
      </c>
      <c r="G52">
        <v>0</v>
      </c>
      <c r="H52">
        <v>4</v>
      </c>
      <c r="I52">
        <v>24</v>
      </c>
      <c r="J52">
        <v>3</v>
      </c>
      <c r="K52">
        <v>6</v>
      </c>
    </row>
    <row r="53" spans="1:11" x14ac:dyDescent="0.3">
      <c r="A53" t="s">
        <v>265</v>
      </c>
      <c r="B53" t="s">
        <v>117</v>
      </c>
      <c r="C53">
        <v>56</v>
      </c>
      <c r="D53">
        <v>28</v>
      </c>
      <c r="E53">
        <v>3</v>
      </c>
      <c r="F53">
        <v>5</v>
      </c>
      <c r="G53">
        <v>200</v>
      </c>
      <c r="H53">
        <v>0</v>
      </c>
      <c r="I53">
        <v>0</v>
      </c>
      <c r="J53">
        <v>0</v>
      </c>
      <c r="K53">
        <v>0</v>
      </c>
    </row>
    <row r="54" spans="1:11" x14ac:dyDescent="0.3">
      <c r="A54" t="s">
        <v>266</v>
      </c>
      <c r="B54" t="s">
        <v>68</v>
      </c>
      <c r="C54">
        <v>0</v>
      </c>
      <c r="D54">
        <v>0</v>
      </c>
      <c r="E54">
        <v>0</v>
      </c>
      <c r="F54">
        <v>0</v>
      </c>
      <c r="G54">
        <v>0</v>
      </c>
      <c r="H54">
        <v>3.3</v>
      </c>
      <c r="I54">
        <v>19</v>
      </c>
      <c r="J54">
        <v>4</v>
      </c>
      <c r="K54">
        <v>5.43</v>
      </c>
    </row>
    <row r="55" spans="1:11" x14ac:dyDescent="0.3">
      <c r="A55" t="s">
        <v>267</v>
      </c>
      <c r="B55" t="s">
        <v>75</v>
      </c>
      <c r="C55">
        <v>0</v>
      </c>
      <c r="D55">
        <v>0</v>
      </c>
      <c r="E55">
        <v>0</v>
      </c>
      <c r="F55">
        <v>0</v>
      </c>
      <c r="G55">
        <v>0</v>
      </c>
      <c r="H55">
        <v>4</v>
      </c>
      <c r="I55">
        <v>17</v>
      </c>
      <c r="J55">
        <v>2</v>
      </c>
      <c r="K55">
        <v>4.25</v>
      </c>
    </row>
    <row r="56" spans="1:11" x14ac:dyDescent="0.3">
      <c r="A56" t="s">
        <v>268</v>
      </c>
      <c r="B56" t="s">
        <v>98</v>
      </c>
      <c r="C56">
        <v>75</v>
      </c>
      <c r="D56">
        <v>45</v>
      </c>
      <c r="E56">
        <v>5</v>
      </c>
      <c r="F56">
        <v>4</v>
      </c>
      <c r="G56">
        <v>166.67</v>
      </c>
      <c r="H56">
        <v>0</v>
      </c>
      <c r="I56">
        <v>0</v>
      </c>
      <c r="J56">
        <v>0</v>
      </c>
      <c r="K56">
        <v>0</v>
      </c>
    </row>
    <row r="57" spans="1:11" x14ac:dyDescent="0.3">
      <c r="A57" t="s">
        <v>269</v>
      </c>
      <c r="B57" t="s">
        <v>41</v>
      </c>
      <c r="C57">
        <v>48</v>
      </c>
      <c r="D57">
        <v>32</v>
      </c>
      <c r="E57">
        <v>4</v>
      </c>
      <c r="F57">
        <v>1</v>
      </c>
      <c r="G57">
        <v>150</v>
      </c>
      <c r="H57">
        <v>0</v>
      </c>
      <c r="I57">
        <v>0</v>
      </c>
      <c r="J57">
        <v>0</v>
      </c>
      <c r="K57">
        <v>0</v>
      </c>
    </row>
    <row r="58" spans="1:11" x14ac:dyDescent="0.3">
      <c r="A58" t="s">
        <v>270</v>
      </c>
      <c r="B58" t="s">
        <v>47</v>
      </c>
      <c r="C58">
        <v>105</v>
      </c>
      <c r="D58">
        <v>60</v>
      </c>
      <c r="E58">
        <v>12</v>
      </c>
      <c r="F58">
        <v>3</v>
      </c>
      <c r="G58">
        <v>175</v>
      </c>
      <c r="H58">
        <v>0</v>
      </c>
      <c r="I58">
        <v>0</v>
      </c>
      <c r="J58">
        <v>0</v>
      </c>
      <c r="K58">
        <v>0</v>
      </c>
    </row>
    <row r="59" spans="1:11" x14ac:dyDescent="0.3">
      <c r="A59" t="s">
        <v>271</v>
      </c>
      <c r="B59" t="s">
        <v>8</v>
      </c>
      <c r="C59">
        <v>88</v>
      </c>
      <c r="D59">
        <v>48</v>
      </c>
      <c r="E59">
        <v>9</v>
      </c>
      <c r="F59">
        <v>4</v>
      </c>
      <c r="G59">
        <v>183.33</v>
      </c>
      <c r="H59">
        <v>0</v>
      </c>
      <c r="I59">
        <v>0</v>
      </c>
      <c r="J59">
        <v>0</v>
      </c>
      <c r="K59">
        <v>0</v>
      </c>
    </row>
    <row r="60" spans="1:11" x14ac:dyDescent="0.3">
      <c r="A60" t="s">
        <v>272</v>
      </c>
      <c r="B60" t="s">
        <v>111</v>
      </c>
      <c r="C60">
        <v>65</v>
      </c>
      <c r="D60">
        <v>40</v>
      </c>
      <c r="E60">
        <v>6</v>
      </c>
      <c r="F60">
        <v>2</v>
      </c>
      <c r="G60">
        <v>162.5</v>
      </c>
      <c r="H60">
        <v>0</v>
      </c>
      <c r="I60">
        <v>0</v>
      </c>
      <c r="J60">
        <v>0</v>
      </c>
      <c r="K60">
        <v>0</v>
      </c>
    </row>
    <row r="61" spans="1:11" x14ac:dyDescent="0.3">
      <c r="A61" t="s">
        <v>273</v>
      </c>
      <c r="B61" t="s">
        <v>101</v>
      </c>
      <c r="C61">
        <v>0</v>
      </c>
      <c r="D61">
        <v>0</v>
      </c>
      <c r="E61">
        <v>0</v>
      </c>
      <c r="F61">
        <v>0</v>
      </c>
      <c r="G61">
        <v>0</v>
      </c>
      <c r="H61">
        <v>4</v>
      </c>
      <c r="I61">
        <v>22</v>
      </c>
      <c r="J61">
        <v>3</v>
      </c>
      <c r="K61">
        <v>5.5</v>
      </c>
    </row>
    <row r="62" spans="1:11" x14ac:dyDescent="0.3">
      <c r="A62" t="s">
        <v>283</v>
      </c>
      <c r="B62" t="s">
        <v>34</v>
      </c>
      <c r="C62">
        <v>60</v>
      </c>
      <c r="D62">
        <v>35</v>
      </c>
      <c r="E62">
        <v>7</v>
      </c>
      <c r="F62">
        <v>2</v>
      </c>
      <c r="G62">
        <v>171.43</v>
      </c>
      <c r="H62">
        <v>0</v>
      </c>
      <c r="I62">
        <v>0</v>
      </c>
      <c r="J62">
        <v>0</v>
      </c>
      <c r="K62">
        <v>0</v>
      </c>
    </row>
    <row r="63" spans="1:11" x14ac:dyDescent="0.3">
      <c r="A63" t="s">
        <v>284</v>
      </c>
      <c r="B63" t="s">
        <v>119</v>
      </c>
      <c r="C63">
        <v>75</v>
      </c>
      <c r="D63">
        <v>45</v>
      </c>
      <c r="E63">
        <v>8</v>
      </c>
      <c r="F63">
        <v>3</v>
      </c>
      <c r="G63">
        <v>166.67</v>
      </c>
      <c r="H63">
        <v>0</v>
      </c>
      <c r="I63">
        <v>0</v>
      </c>
      <c r="J63">
        <v>0</v>
      </c>
      <c r="K63">
        <v>0</v>
      </c>
    </row>
    <row r="64" spans="1:11" x14ac:dyDescent="0.3">
      <c r="A64" t="s">
        <v>285</v>
      </c>
      <c r="B64" t="s">
        <v>63</v>
      </c>
      <c r="C64">
        <v>45</v>
      </c>
      <c r="D64">
        <v>25</v>
      </c>
      <c r="E64">
        <v>3</v>
      </c>
      <c r="F64">
        <v>4</v>
      </c>
      <c r="G64">
        <v>180</v>
      </c>
      <c r="H64">
        <v>4</v>
      </c>
      <c r="I64">
        <v>35</v>
      </c>
      <c r="J64">
        <v>2</v>
      </c>
      <c r="K64">
        <v>8.75</v>
      </c>
    </row>
    <row r="65" spans="1:11" x14ac:dyDescent="0.3">
      <c r="A65" t="s">
        <v>286</v>
      </c>
      <c r="B65" t="s">
        <v>84</v>
      </c>
      <c r="C65">
        <v>90</v>
      </c>
      <c r="D65">
        <v>50</v>
      </c>
      <c r="E65">
        <v>9</v>
      </c>
      <c r="F65">
        <v>3</v>
      </c>
      <c r="G65">
        <v>180</v>
      </c>
      <c r="H65">
        <v>0</v>
      </c>
      <c r="I65">
        <v>0</v>
      </c>
      <c r="J65">
        <v>0</v>
      </c>
      <c r="K65">
        <v>0</v>
      </c>
    </row>
    <row r="66" spans="1:11" x14ac:dyDescent="0.3">
      <c r="A66" t="s">
        <v>287</v>
      </c>
      <c r="B66" t="s">
        <v>95</v>
      </c>
      <c r="C66">
        <v>50</v>
      </c>
      <c r="D66">
        <v>30</v>
      </c>
      <c r="E66">
        <v>5</v>
      </c>
      <c r="F66">
        <v>2</v>
      </c>
      <c r="G66">
        <v>166.67</v>
      </c>
      <c r="H66">
        <v>0</v>
      </c>
      <c r="I66">
        <v>0</v>
      </c>
      <c r="J66">
        <v>0</v>
      </c>
      <c r="K66">
        <v>0</v>
      </c>
    </row>
    <row r="67" spans="1:11" x14ac:dyDescent="0.3">
      <c r="A67" t="s">
        <v>288</v>
      </c>
      <c r="B67" t="s">
        <v>66</v>
      </c>
      <c r="C67">
        <v>25</v>
      </c>
      <c r="D67">
        <v>15</v>
      </c>
      <c r="E67">
        <v>2</v>
      </c>
      <c r="F67">
        <v>2</v>
      </c>
      <c r="G67">
        <v>166.67</v>
      </c>
      <c r="H67">
        <v>4</v>
      </c>
      <c r="I67">
        <v>20</v>
      </c>
      <c r="J67">
        <v>3</v>
      </c>
      <c r="K67">
        <v>5</v>
      </c>
    </row>
    <row r="68" spans="1:11" x14ac:dyDescent="0.3">
      <c r="A68" t="s">
        <v>289</v>
      </c>
      <c r="B68" t="s">
        <v>37</v>
      </c>
      <c r="C68">
        <v>0</v>
      </c>
      <c r="D68">
        <v>0</v>
      </c>
      <c r="E68">
        <v>0</v>
      </c>
      <c r="F68">
        <v>0</v>
      </c>
      <c r="G68">
        <v>0</v>
      </c>
      <c r="H68">
        <v>4</v>
      </c>
      <c r="I68">
        <v>25</v>
      </c>
      <c r="J68">
        <v>3</v>
      </c>
      <c r="K68">
        <v>6.25</v>
      </c>
    </row>
    <row r="69" spans="1:11" x14ac:dyDescent="0.3">
      <c r="A69" t="s">
        <v>290</v>
      </c>
      <c r="B69" t="s">
        <v>117</v>
      </c>
      <c r="C69">
        <v>40</v>
      </c>
      <c r="D69">
        <v>20</v>
      </c>
      <c r="E69">
        <v>4</v>
      </c>
      <c r="F69">
        <v>3</v>
      </c>
      <c r="G69">
        <v>200</v>
      </c>
      <c r="H69">
        <v>0</v>
      </c>
      <c r="I69">
        <v>0</v>
      </c>
      <c r="J69">
        <v>0</v>
      </c>
      <c r="K69">
        <v>0</v>
      </c>
    </row>
    <row r="70" spans="1:11" x14ac:dyDescent="0.3">
      <c r="A70" t="s">
        <v>291</v>
      </c>
      <c r="B70" t="s">
        <v>68</v>
      </c>
      <c r="C70">
        <v>0</v>
      </c>
      <c r="D70">
        <v>0</v>
      </c>
      <c r="E70">
        <v>0</v>
      </c>
      <c r="F70">
        <v>0</v>
      </c>
      <c r="G70">
        <v>0</v>
      </c>
      <c r="H70">
        <v>4</v>
      </c>
      <c r="I70">
        <v>22</v>
      </c>
      <c r="J70">
        <v>3</v>
      </c>
      <c r="K70">
        <v>5.5</v>
      </c>
    </row>
    <row r="71" spans="1:11" x14ac:dyDescent="0.3">
      <c r="A71" t="s">
        <v>292</v>
      </c>
      <c r="B71" t="s">
        <v>75</v>
      </c>
      <c r="C71">
        <v>0</v>
      </c>
      <c r="D71">
        <v>0</v>
      </c>
      <c r="E71">
        <v>0</v>
      </c>
      <c r="F71">
        <v>0</v>
      </c>
      <c r="G71">
        <v>0</v>
      </c>
      <c r="H71">
        <v>4</v>
      </c>
      <c r="I71">
        <v>15</v>
      </c>
      <c r="J71">
        <v>2</v>
      </c>
      <c r="K71">
        <v>3.75</v>
      </c>
    </row>
    <row r="72" spans="1:11" x14ac:dyDescent="0.3">
      <c r="A72" t="s">
        <v>293</v>
      </c>
      <c r="B72" t="s">
        <v>98</v>
      </c>
      <c r="C72">
        <v>65</v>
      </c>
      <c r="D72">
        <v>40</v>
      </c>
      <c r="E72">
        <v>6</v>
      </c>
      <c r="F72">
        <v>3</v>
      </c>
      <c r="G72">
        <v>162.5</v>
      </c>
      <c r="H72">
        <v>0</v>
      </c>
      <c r="I72">
        <v>0</v>
      </c>
      <c r="J72">
        <v>0</v>
      </c>
      <c r="K72">
        <v>0</v>
      </c>
    </row>
    <row r="73" spans="1:11" x14ac:dyDescent="0.3">
      <c r="A73" t="s">
        <v>294</v>
      </c>
      <c r="B73" t="s">
        <v>41</v>
      </c>
      <c r="C73">
        <v>55</v>
      </c>
      <c r="D73">
        <v>35</v>
      </c>
      <c r="E73">
        <v>5</v>
      </c>
      <c r="F73">
        <v>2</v>
      </c>
      <c r="G73">
        <v>157.13999999999999</v>
      </c>
      <c r="H73">
        <v>0</v>
      </c>
      <c r="I73">
        <v>0</v>
      </c>
      <c r="J73">
        <v>0</v>
      </c>
      <c r="K73">
        <v>0</v>
      </c>
    </row>
    <row r="74" spans="1:11" x14ac:dyDescent="0.3">
      <c r="A74" t="s">
        <v>295</v>
      </c>
      <c r="B74" t="s">
        <v>47</v>
      </c>
      <c r="C74">
        <v>85</v>
      </c>
      <c r="D74">
        <v>50</v>
      </c>
      <c r="E74">
        <v>8</v>
      </c>
      <c r="F74">
        <v>3</v>
      </c>
      <c r="G74">
        <v>170</v>
      </c>
      <c r="H74">
        <v>0</v>
      </c>
      <c r="I74">
        <v>0</v>
      </c>
      <c r="J74">
        <v>0</v>
      </c>
      <c r="K74">
        <v>0</v>
      </c>
    </row>
    <row r="75" spans="1:11" x14ac:dyDescent="0.3">
      <c r="A75" t="s">
        <v>296</v>
      </c>
      <c r="B75" t="s">
        <v>8</v>
      </c>
      <c r="C75">
        <v>70</v>
      </c>
      <c r="D75">
        <v>45</v>
      </c>
      <c r="E75">
        <v>7</v>
      </c>
      <c r="F75">
        <v>3</v>
      </c>
      <c r="G75">
        <v>155.56</v>
      </c>
      <c r="H75">
        <v>0</v>
      </c>
      <c r="I75">
        <v>0</v>
      </c>
      <c r="J75">
        <v>0</v>
      </c>
      <c r="K75">
        <v>0</v>
      </c>
    </row>
    <row r="76" spans="1:11" x14ac:dyDescent="0.3">
      <c r="A76" t="s">
        <v>297</v>
      </c>
      <c r="B76" t="s">
        <v>111</v>
      </c>
      <c r="C76">
        <v>55</v>
      </c>
      <c r="D76">
        <v>35</v>
      </c>
      <c r="E76">
        <v>5</v>
      </c>
      <c r="F76">
        <v>2</v>
      </c>
      <c r="G76">
        <v>157.13999999999999</v>
      </c>
      <c r="H76">
        <v>0</v>
      </c>
      <c r="I76">
        <v>0</v>
      </c>
      <c r="J76">
        <v>0</v>
      </c>
      <c r="K76">
        <v>0</v>
      </c>
    </row>
    <row r="77" spans="1:11" x14ac:dyDescent="0.3">
      <c r="A77" t="s">
        <v>298</v>
      </c>
      <c r="B77" t="s">
        <v>101</v>
      </c>
      <c r="C77">
        <v>0</v>
      </c>
      <c r="D77">
        <v>0</v>
      </c>
      <c r="E77">
        <v>0</v>
      </c>
      <c r="F77">
        <v>0</v>
      </c>
      <c r="G77">
        <v>0</v>
      </c>
      <c r="H77">
        <v>4</v>
      </c>
      <c r="I77">
        <v>28</v>
      </c>
      <c r="J77">
        <v>3</v>
      </c>
      <c r="K77">
        <v>7</v>
      </c>
    </row>
    <row r="78" spans="1:11" x14ac:dyDescent="0.3">
      <c r="A78" t="s">
        <v>299</v>
      </c>
      <c r="B78" t="s">
        <v>16</v>
      </c>
      <c r="C78">
        <v>0</v>
      </c>
      <c r="D78">
        <v>0</v>
      </c>
      <c r="E78">
        <v>0</v>
      </c>
      <c r="F78">
        <v>0</v>
      </c>
      <c r="G78">
        <v>0</v>
      </c>
      <c r="H78">
        <v>4</v>
      </c>
      <c r="I78">
        <v>25</v>
      </c>
      <c r="J78">
        <v>2</v>
      </c>
      <c r="K78">
        <v>6.25</v>
      </c>
    </row>
    <row r="79" spans="1:11" x14ac:dyDescent="0.3">
      <c r="A79" t="s">
        <v>300</v>
      </c>
      <c r="B79" t="s">
        <v>115</v>
      </c>
      <c r="C79">
        <v>0</v>
      </c>
      <c r="D79">
        <v>0</v>
      </c>
      <c r="E79">
        <v>0</v>
      </c>
      <c r="F79">
        <v>0</v>
      </c>
      <c r="G79">
        <v>0</v>
      </c>
      <c r="H79">
        <v>4</v>
      </c>
      <c r="I79">
        <v>35</v>
      </c>
      <c r="J79">
        <v>1</v>
      </c>
      <c r="K79">
        <v>8.75</v>
      </c>
    </row>
    <row r="80" spans="1:11" x14ac:dyDescent="0.3">
      <c r="A80" t="s">
        <v>301</v>
      </c>
      <c r="B80" t="s">
        <v>47</v>
      </c>
      <c r="C80">
        <v>90</v>
      </c>
      <c r="D80">
        <v>55</v>
      </c>
      <c r="E80">
        <v>9</v>
      </c>
      <c r="F80">
        <v>3</v>
      </c>
      <c r="G80">
        <v>163.63999999999999</v>
      </c>
      <c r="H80">
        <v>0</v>
      </c>
      <c r="I80">
        <v>0</v>
      </c>
      <c r="J80">
        <v>0</v>
      </c>
      <c r="K80">
        <v>0</v>
      </c>
    </row>
    <row r="81" spans="1:11" x14ac:dyDescent="0.3">
      <c r="A81" t="s">
        <v>302</v>
      </c>
      <c r="B81" t="s">
        <v>21</v>
      </c>
      <c r="C81">
        <v>45</v>
      </c>
      <c r="D81">
        <v>30</v>
      </c>
      <c r="E81">
        <v>4</v>
      </c>
      <c r="F81">
        <v>2</v>
      </c>
      <c r="G81">
        <v>150</v>
      </c>
      <c r="H81">
        <v>0</v>
      </c>
      <c r="I81">
        <v>0</v>
      </c>
      <c r="J81">
        <v>0</v>
      </c>
      <c r="K81">
        <v>0</v>
      </c>
    </row>
    <row r="82" spans="1:11" x14ac:dyDescent="0.3">
      <c r="A82" t="s">
        <v>303</v>
      </c>
      <c r="B82" t="s">
        <v>27</v>
      </c>
      <c r="C82">
        <v>50</v>
      </c>
      <c r="D82">
        <v>30</v>
      </c>
      <c r="E82">
        <v>5</v>
      </c>
      <c r="F82">
        <v>2</v>
      </c>
      <c r="G82">
        <v>166.67</v>
      </c>
      <c r="H82">
        <v>0</v>
      </c>
      <c r="I82">
        <v>0</v>
      </c>
      <c r="J82">
        <v>0</v>
      </c>
      <c r="K82">
        <v>0</v>
      </c>
    </row>
    <row r="83" spans="1:11" x14ac:dyDescent="0.3">
      <c r="A83" t="s">
        <v>304</v>
      </c>
      <c r="B83" t="s">
        <v>81</v>
      </c>
      <c r="C83">
        <v>0</v>
      </c>
      <c r="D83">
        <v>0</v>
      </c>
      <c r="E83">
        <v>0</v>
      </c>
      <c r="F83">
        <v>0</v>
      </c>
      <c r="G83">
        <v>0</v>
      </c>
      <c r="H83">
        <v>4</v>
      </c>
      <c r="I83">
        <v>20</v>
      </c>
      <c r="J83">
        <v>3</v>
      </c>
      <c r="K83">
        <v>5</v>
      </c>
    </row>
    <row r="84" spans="1:11" x14ac:dyDescent="0.3">
      <c r="A84" t="s">
        <v>305</v>
      </c>
      <c r="B84" t="s">
        <v>107</v>
      </c>
      <c r="C84">
        <v>0</v>
      </c>
      <c r="D84">
        <v>0</v>
      </c>
      <c r="E84">
        <v>0</v>
      </c>
      <c r="F84">
        <v>0</v>
      </c>
      <c r="G84">
        <v>0</v>
      </c>
      <c r="H84">
        <v>4</v>
      </c>
      <c r="I84">
        <v>22</v>
      </c>
      <c r="J84">
        <v>2</v>
      </c>
      <c r="K84">
        <v>5.5</v>
      </c>
    </row>
    <row r="85" spans="1:11" x14ac:dyDescent="0.3">
      <c r="A85" t="s">
        <v>306</v>
      </c>
      <c r="B85" t="s">
        <v>63</v>
      </c>
      <c r="C85">
        <v>80</v>
      </c>
      <c r="D85">
        <v>40</v>
      </c>
      <c r="E85">
        <v>8</v>
      </c>
      <c r="F85">
        <v>4</v>
      </c>
      <c r="G85">
        <v>200</v>
      </c>
      <c r="H85">
        <v>4</v>
      </c>
      <c r="I85">
        <v>30</v>
      </c>
      <c r="J85">
        <v>1</v>
      </c>
      <c r="K85">
        <v>7.5</v>
      </c>
    </row>
    <row r="86" spans="1:11" x14ac:dyDescent="0.3">
      <c r="A86" t="s">
        <v>307</v>
      </c>
      <c r="B86" t="s">
        <v>117</v>
      </c>
      <c r="C86">
        <v>65</v>
      </c>
      <c r="D86">
        <v>35</v>
      </c>
      <c r="E86">
        <v>6</v>
      </c>
      <c r="F86">
        <v>4</v>
      </c>
      <c r="G86">
        <v>185.71</v>
      </c>
      <c r="H86">
        <v>0</v>
      </c>
      <c r="I86">
        <v>0</v>
      </c>
      <c r="J86">
        <v>0</v>
      </c>
      <c r="K86">
        <v>0</v>
      </c>
    </row>
    <row r="87" spans="1:11" x14ac:dyDescent="0.3">
      <c r="A87" t="s">
        <v>308</v>
      </c>
      <c r="B87" t="s">
        <v>31</v>
      </c>
      <c r="C87">
        <v>40</v>
      </c>
      <c r="D87">
        <v>25</v>
      </c>
      <c r="E87">
        <v>3</v>
      </c>
      <c r="F87">
        <v>2</v>
      </c>
      <c r="G87">
        <v>160</v>
      </c>
      <c r="H87">
        <v>4</v>
      </c>
      <c r="I87">
        <v>30</v>
      </c>
      <c r="J87">
        <v>2</v>
      </c>
      <c r="K87">
        <v>7.5</v>
      </c>
    </row>
    <row r="88" spans="1:11" x14ac:dyDescent="0.3">
      <c r="A88" t="s">
        <v>309</v>
      </c>
      <c r="B88" t="s">
        <v>91</v>
      </c>
      <c r="C88">
        <v>0</v>
      </c>
      <c r="D88">
        <v>0</v>
      </c>
      <c r="E88">
        <v>0</v>
      </c>
      <c r="F88">
        <v>0</v>
      </c>
      <c r="G88">
        <v>0</v>
      </c>
      <c r="H88">
        <v>3.5</v>
      </c>
      <c r="I88">
        <v>15</v>
      </c>
      <c r="J88">
        <v>3</v>
      </c>
      <c r="K88">
        <v>3.86</v>
      </c>
    </row>
    <row r="89" spans="1:11" x14ac:dyDescent="0.3">
      <c r="A89" t="s">
        <v>310</v>
      </c>
      <c r="B89" t="s">
        <v>79</v>
      </c>
      <c r="C89">
        <v>55</v>
      </c>
      <c r="D89">
        <v>30</v>
      </c>
      <c r="E89">
        <v>5</v>
      </c>
      <c r="F89">
        <v>3</v>
      </c>
      <c r="G89">
        <v>183.33</v>
      </c>
      <c r="H89">
        <v>0</v>
      </c>
      <c r="I89">
        <v>0</v>
      </c>
      <c r="J89">
        <v>0</v>
      </c>
      <c r="K89">
        <v>0</v>
      </c>
    </row>
    <row r="90" spans="1:11" x14ac:dyDescent="0.3">
      <c r="A90" t="s">
        <v>311</v>
      </c>
      <c r="B90" t="s">
        <v>47</v>
      </c>
      <c r="C90">
        <v>70</v>
      </c>
      <c r="D90">
        <v>40</v>
      </c>
      <c r="E90">
        <v>7</v>
      </c>
      <c r="F90">
        <v>3</v>
      </c>
      <c r="G90">
        <v>175</v>
      </c>
      <c r="H90">
        <v>0</v>
      </c>
      <c r="I90">
        <v>0</v>
      </c>
      <c r="J90">
        <v>0</v>
      </c>
      <c r="K90">
        <v>0</v>
      </c>
    </row>
    <row r="91" spans="1:11" x14ac:dyDescent="0.3">
      <c r="A91" t="s">
        <v>312</v>
      </c>
      <c r="B91" t="s">
        <v>95</v>
      </c>
      <c r="C91">
        <v>60</v>
      </c>
      <c r="D91">
        <v>40</v>
      </c>
      <c r="E91">
        <v>6</v>
      </c>
      <c r="F91">
        <v>2</v>
      </c>
      <c r="G91">
        <v>150</v>
      </c>
      <c r="H91">
        <v>0</v>
      </c>
      <c r="I91">
        <v>0</v>
      </c>
      <c r="J91">
        <v>0</v>
      </c>
      <c r="K91">
        <v>0</v>
      </c>
    </row>
    <row r="92" spans="1:11" x14ac:dyDescent="0.3">
      <c r="A92" t="s">
        <v>313</v>
      </c>
      <c r="B92" t="s">
        <v>111</v>
      </c>
      <c r="C92">
        <v>80</v>
      </c>
      <c r="D92">
        <v>45</v>
      </c>
      <c r="E92">
        <v>8</v>
      </c>
      <c r="F92">
        <v>3</v>
      </c>
      <c r="G92">
        <v>177.78</v>
      </c>
      <c r="H92">
        <v>0</v>
      </c>
      <c r="I92">
        <v>0</v>
      </c>
      <c r="J92">
        <v>0</v>
      </c>
      <c r="K92">
        <v>0</v>
      </c>
    </row>
    <row r="93" spans="1:11" x14ac:dyDescent="0.3">
      <c r="A93" t="s">
        <v>314</v>
      </c>
      <c r="B93" t="s">
        <v>16</v>
      </c>
      <c r="C93">
        <v>0</v>
      </c>
      <c r="D93">
        <v>0</v>
      </c>
      <c r="E93">
        <v>0</v>
      </c>
      <c r="F93">
        <v>0</v>
      </c>
      <c r="G93">
        <v>0</v>
      </c>
      <c r="H93">
        <v>4</v>
      </c>
      <c r="I93">
        <v>28</v>
      </c>
      <c r="J93">
        <v>3</v>
      </c>
      <c r="K93">
        <v>7</v>
      </c>
    </row>
    <row r="94" spans="1:11" x14ac:dyDescent="0.3">
      <c r="A94" t="s">
        <v>315</v>
      </c>
      <c r="B94" t="s">
        <v>51</v>
      </c>
      <c r="C94">
        <v>0</v>
      </c>
      <c r="D94">
        <v>0</v>
      </c>
      <c r="E94">
        <v>0</v>
      </c>
      <c r="F94">
        <v>0</v>
      </c>
      <c r="G94">
        <v>0</v>
      </c>
      <c r="H94">
        <v>4</v>
      </c>
      <c r="I94">
        <v>30</v>
      </c>
      <c r="J94">
        <v>2</v>
      </c>
      <c r="K94">
        <v>7.5</v>
      </c>
    </row>
    <row r="95" spans="1:11" x14ac:dyDescent="0.3">
      <c r="A95" t="s">
        <v>316</v>
      </c>
      <c r="B95" t="s">
        <v>21</v>
      </c>
      <c r="C95">
        <v>50</v>
      </c>
      <c r="D95">
        <v>35</v>
      </c>
      <c r="E95">
        <v>5</v>
      </c>
      <c r="F95">
        <v>2</v>
      </c>
      <c r="G95">
        <v>142.86000000000001</v>
      </c>
      <c r="H95">
        <v>0</v>
      </c>
      <c r="I95">
        <v>0</v>
      </c>
      <c r="J95">
        <v>0</v>
      </c>
      <c r="K95">
        <v>0</v>
      </c>
    </row>
    <row r="96" spans="1:11" x14ac:dyDescent="0.3">
      <c r="A96" t="s">
        <v>317</v>
      </c>
      <c r="B96" t="s">
        <v>119</v>
      </c>
      <c r="C96">
        <v>60</v>
      </c>
      <c r="D96">
        <v>40</v>
      </c>
      <c r="E96">
        <v>6</v>
      </c>
      <c r="F96">
        <v>2</v>
      </c>
      <c r="G96">
        <v>150</v>
      </c>
      <c r="H96">
        <v>0</v>
      </c>
      <c r="I96">
        <v>0</v>
      </c>
      <c r="J96">
        <v>0</v>
      </c>
      <c r="K96">
        <v>0</v>
      </c>
    </row>
    <row r="97" spans="1:11" x14ac:dyDescent="0.3">
      <c r="A97" t="s">
        <v>318</v>
      </c>
      <c r="B97" t="s">
        <v>59</v>
      </c>
      <c r="C97">
        <v>50</v>
      </c>
      <c r="D97">
        <v>30</v>
      </c>
      <c r="E97">
        <v>5</v>
      </c>
      <c r="F97">
        <v>2</v>
      </c>
      <c r="G97">
        <v>166.67</v>
      </c>
      <c r="H97">
        <v>0</v>
      </c>
      <c r="I97">
        <v>0</v>
      </c>
      <c r="J97">
        <v>0</v>
      </c>
      <c r="K97">
        <v>0</v>
      </c>
    </row>
    <row r="98" spans="1:11" x14ac:dyDescent="0.3">
      <c r="A98" t="s">
        <v>319</v>
      </c>
      <c r="B98" t="s">
        <v>34</v>
      </c>
      <c r="C98">
        <v>70</v>
      </c>
      <c r="D98">
        <v>40</v>
      </c>
      <c r="E98">
        <v>7</v>
      </c>
      <c r="F98">
        <v>3</v>
      </c>
      <c r="G98">
        <v>175</v>
      </c>
      <c r="H98">
        <v>0</v>
      </c>
      <c r="I98">
        <v>0</v>
      </c>
      <c r="J98">
        <v>0</v>
      </c>
      <c r="K98">
        <v>0</v>
      </c>
    </row>
    <row r="99" spans="1:11" x14ac:dyDescent="0.3">
      <c r="A99" t="s">
        <v>320</v>
      </c>
      <c r="B99" t="s">
        <v>84</v>
      </c>
      <c r="C99">
        <v>55</v>
      </c>
      <c r="D99">
        <v>35</v>
      </c>
      <c r="E99">
        <v>5</v>
      </c>
      <c r="F99">
        <v>2</v>
      </c>
      <c r="G99">
        <v>157.13999999999999</v>
      </c>
      <c r="H99">
        <v>0</v>
      </c>
      <c r="I99">
        <v>0</v>
      </c>
      <c r="J99">
        <v>0</v>
      </c>
      <c r="K99">
        <v>0</v>
      </c>
    </row>
    <row r="100" spans="1:11" x14ac:dyDescent="0.3">
      <c r="A100" t="s">
        <v>321</v>
      </c>
      <c r="B100" t="s">
        <v>63</v>
      </c>
      <c r="C100">
        <v>60</v>
      </c>
      <c r="D100">
        <v>30</v>
      </c>
      <c r="E100">
        <v>6</v>
      </c>
      <c r="F100">
        <v>4</v>
      </c>
      <c r="G100">
        <v>200</v>
      </c>
      <c r="H100">
        <v>4</v>
      </c>
      <c r="I100">
        <v>40</v>
      </c>
      <c r="J100">
        <v>1</v>
      </c>
      <c r="K100">
        <v>10</v>
      </c>
    </row>
    <row r="101" spans="1:11" x14ac:dyDescent="0.3">
      <c r="A101" t="s">
        <v>322</v>
      </c>
      <c r="B101" t="s">
        <v>101</v>
      </c>
      <c r="C101">
        <v>0</v>
      </c>
      <c r="D101">
        <v>0</v>
      </c>
      <c r="E101">
        <v>0</v>
      </c>
      <c r="F101">
        <v>0</v>
      </c>
      <c r="G101">
        <v>0</v>
      </c>
      <c r="H101">
        <v>4</v>
      </c>
      <c r="I101">
        <v>32</v>
      </c>
      <c r="J101">
        <v>2</v>
      </c>
      <c r="K101">
        <v>8</v>
      </c>
    </row>
    <row r="102" spans="1:11" x14ac:dyDescent="0.3">
      <c r="A102" t="s">
        <v>323</v>
      </c>
      <c r="B102" t="s">
        <v>84</v>
      </c>
      <c r="C102">
        <v>85</v>
      </c>
      <c r="D102">
        <v>45</v>
      </c>
      <c r="E102">
        <v>8</v>
      </c>
      <c r="F102">
        <v>4</v>
      </c>
      <c r="G102">
        <v>188.89</v>
      </c>
      <c r="H102">
        <v>0</v>
      </c>
      <c r="I102">
        <v>0</v>
      </c>
      <c r="J102">
        <v>0</v>
      </c>
      <c r="K102">
        <v>0</v>
      </c>
    </row>
    <row r="103" spans="1:11" x14ac:dyDescent="0.3">
      <c r="A103" t="s">
        <v>324</v>
      </c>
      <c r="B103" t="s">
        <v>16</v>
      </c>
      <c r="C103">
        <v>0</v>
      </c>
      <c r="D103">
        <v>0</v>
      </c>
      <c r="E103">
        <v>0</v>
      </c>
      <c r="F103">
        <v>0</v>
      </c>
      <c r="G103">
        <v>0</v>
      </c>
      <c r="H103">
        <v>4</v>
      </c>
      <c r="I103">
        <v>25</v>
      </c>
      <c r="J103">
        <v>3</v>
      </c>
      <c r="K103">
        <v>6.25</v>
      </c>
    </row>
    <row r="104" spans="1:11" x14ac:dyDescent="0.3">
      <c r="A104" t="s">
        <v>325</v>
      </c>
      <c r="B104" t="s">
        <v>95</v>
      </c>
      <c r="C104">
        <v>75</v>
      </c>
      <c r="D104">
        <v>40</v>
      </c>
      <c r="E104">
        <v>7</v>
      </c>
      <c r="F104">
        <v>3</v>
      </c>
      <c r="G104">
        <v>187.5</v>
      </c>
      <c r="H104">
        <v>0</v>
      </c>
      <c r="I104">
        <v>0</v>
      </c>
      <c r="J104">
        <v>0</v>
      </c>
      <c r="K104">
        <v>0</v>
      </c>
    </row>
    <row r="105" spans="1:11" x14ac:dyDescent="0.3">
      <c r="A105" t="s">
        <v>326</v>
      </c>
      <c r="B105" t="s">
        <v>47</v>
      </c>
      <c r="C105">
        <v>50</v>
      </c>
      <c r="D105">
        <v>30</v>
      </c>
      <c r="E105">
        <v>5</v>
      </c>
      <c r="F105">
        <v>2</v>
      </c>
      <c r="G105">
        <v>166.67</v>
      </c>
      <c r="H105">
        <v>0</v>
      </c>
      <c r="I105">
        <v>0</v>
      </c>
      <c r="J105">
        <v>0</v>
      </c>
      <c r="K105">
        <v>0</v>
      </c>
    </row>
    <row r="106" spans="1:11" x14ac:dyDescent="0.3">
      <c r="A106" t="s">
        <v>327</v>
      </c>
      <c r="B106" t="s">
        <v>66</v>
      </c>
      <c r="C106">
        <v>30</v>
      </c>
      <c r="D106">
        <v>15</v>
      </c>
      <c r="E106">
        <v>3</v>
      </c>
      <c r="F106">
        <v>2</v>
      </c>
      <c r="G106">
        <v>200</v>
      </c>
      <c r="H106">
        <v>4</v>
      </c>
      <c r="I106">
        <v>28</v>
      </c>
      <c r="J106">
        <v>2</v>
      </c>
      <c r="K106">
        <v>7</v>
      </c>
    </row>
    <row r="107" spans="1:11" x14ac:dyDescent="0.3">
      <c r="A107" t="s">
        <v>328</v>
      </c>
      <c r="B107" t="s">
        <v>81</v>
      </c>
      <c r="C107">
        <v>0</v>
      </c>
      <c r="D107">
        <v>0</v>
      </c>
      <c r="E107">
        <v>0</v>
      </c>
      <c r="F107">
        <v>0</v>
      </c>
      <c r="G107">
        <v>0</v>
      </c>
      <c r="H107">
        <v>4</v>
      </c>
      <c r="I107">
        <v>22</v>
      </c>
      <c r="J107">
        <v>2</v>
      </c>
      <c r="K107">
        <v>5.5</v>
      </c>
    </row>
    <row r="108" spans="1:11" x14ac:dyDescent="0.3">
      <c r="A108" t="s">
        <v>329</v>
      </c>
      <c r="B108" t="s">
        <v>37</v>
      </c>
      <c r="C108">
        <v>0</v>
      </c>
      <c r="D108">
        <v>0</v>
      </c>
      <c r="E108">
        <v>0</v>
      </c>
      <c r="F108">
        <v>0</v>
      </c>
      <c r="G108">
        <v>0</v>
      </c>
      <c r="H108">
        <v>4</v>
      </c>
      <c r="I108">
        <v>30</v>
      </c>
      <c r="J108">
        <v>2</v>
      </c>
      <c r="K108">
        <v>7.5</v>
      </c>
    </row>
    <row r="109" spans="1:11" x14ac:dyDescent="0.3">
      <c r="A109" t="s">
        <v>330</v>
      </c>
      <c r="B109" t="s">
        <v>98</v>
      </c>
      <c r="C109">
        <v>45</v>
      </c>
      <c r="D109">
        <v>30</v>
      </c>
      <c r="E109">
        <v>4</v>
      </c>
      <c r="F109">
        <v>2</v>
      </c>
      <c r="G109">
        <v>150</v>
      </c>
      <c r="H109">
        <v>0</v>
      </c>
      <c r="I109">
        <v>0</v>
      </c>
      <c r="J109">
        <v>0</v>
      </c>
      <c r="K109">
        <v>0</v>
      </c>
    </row>
    <row r="110" spans="1:11" x14ac:dyDescent="0.3">
      <c r="A110" t="s">
        <v>331</v>
      </c>
      <c r="B110" t="s">
        <v>117</v>
      </c>
      <c r="C110">
        <v>75</v>
      </c>
      <c r="D110">
        <v>40</v>
      </c>
      <c r="E110">
        <v>7</v>
      </c>
      <c r="F110">
        <v>4</v>
      </c>
      <c r="G110">
        <v>187.5</v>
      </c>
      <c r="H110">
        <v>0</v>
      </c>
      <c r="I110">
        <v>0</v>
      </c>
      <c r="J110">
        <v>0</v>
      </c>
      <c r="K110">
        <v>0</v>
      </c>
    </row>
    <row r="111" spans="1:11" x14ac:dyDescent="0.3">
      <c r="A111" t="s">
        <v>332</v>
      </c>
      <c r="B111" t="s">
        <v>31</v>
      </c>
      <c r="C111">
        <v>50</v>
      </c>
      <c r="D111">
        <v>30</v>
      </c>
      <c r="E111">
        <v>5</v>
      </c>
      <c r="F111">
        <v>2</v>
      </c>
      <c r="G111">
        <v>166.67</v>
      </c>
      <c r="H111">
        <v>4</v>
      </c>
      <c r="I111">
        <v>35</v>
      </c>
      <c r="J111">
        <v>1</v>
      </c>
      <c r="K111">
        <v>8.75</v>
      </c>
    </row>
    <row r="112" spans="1:11" x14ac:dyDescent="0.3">
      <c r="A112" t="s">
        <v>333</v>
      </c>
      <c r="B112" t="s">
        <v>91</v>
      </c>
      <c r="C112">
        <v>0</v>
      </c>
      <c r="D112">
        <v>0</v>
      </c>
      <c r="E112">
        <v>0</v>
      </c>
      <c r="F112">
        <v>0</v>
      </c>
      <c r="G112">
        <v>0</v>
      </c>
      <c r="H112">
        <v>4</v>
      </c>
      <c r="I112">
        <v>22</v>
      </c>
      <c r="J112">
        <v>3</v>
      </c>
      <c r="K112">
        <v>5.5</v>
      </c>
    </row>
    <row r="113" spans="1:11" x14ac:dyDescent="0.3">
      <c r="A113" t="s">
        <v>334</v>
      </c>
      <c r="B113" t="s">
        <v>119</v>
      </c>
      <c r="C113">
        <v>40</v>
      </c>
      <c r="D113">
        <v>25</v>
      </c>
      <c r="E113">
        <v>4</v>
      </c>
      <c r="F113">
        <v>1</v>
      </c>
      <c r="G113">
        <v>160</v>
      </c>
      <c r="H113">
        <v>0</v>
      </c>
      <c r="I113">
        <v>0</v>
      </c>
      <c r="J113">
        <v>0</v>
      </c>
      <c r="K113">
        <v>0</v>
      </c>
    </row>
    <row r="114" spans="1:11" x14ac:dyDescent="0.3">
      <c r="A114" t="s">
        <v>335</v>
      </c>
      <c r="B114" t="s">
        <v>47</v>
      </c>
      <c r="C114">
        <v>70</v>
      </c>
      <c r="D114">
        <v>45</v>
      </c>
      <c r="E114">
        <v>7</v>
      </c>
      <c r="F114">
        <v>2</v>
      </c>
      <c r="G114">
        <v>155.56</v>
      </c>
      <c r="H114">
        <v>0</v>
      </c>
      <c r="I114">
        <v>0</v>
      </c>
      <c r="J114">
        <v>0</v>
      </c>
      <c r="K114">
        <v>0</v>
      </c>
    </row>
    <row r="115" spans="1:11" x14ac:dyDescent="0.3">
      <c r="A115" t="s">
        <v>336</v>
      </c>
      <c r="B115" t="s">
        <v>66</v>
      </c>
      <c r="C115">
        <v>20</v>
      </c>
      <c r="D115">
        <v>10</v>
      </c>
      <c r="E115">
        <v>2</v>
      </c>
      <c r="F115">
        <v>1</v>
      </c>
      <c r="G115">
        <v>200</v>
      </c>
      <c r="H115">
        <v>4</v>
      </c>
      <c r="I115">
        <v>25</v>
      </c>
      <c r="J115">
        <v>3</v>
      </c>
      <c r="K115">
        <v>6.25</v>
      </c>
    </row>
    <row r="116" spans="1:11" x14ac:dyDescent="0.3">
      <c r="A116" t="s">
        <v>337</v>
      </c>
      <c r="B116" t="s">
        <v>79</v>
      </c>
      <c r="C116">
        <v>60</v>
      </c>
      <c r="D116">
        <v>35</v>
      </c>
      <c r="E116">
        <v>6</v>
      </c>
      <c r="F116">
        <v>3</v>
      </c>
      <c r="G116">
        <v>171.43</v>
      </c>
      <c r="H116">
        <v>0</v>
      </c>
      <c r="I116">
        <v>0</v>
      </c>
      <c r="J116">
        <v>0</v>
      </c>
      <c r="K116">
        <v>0</v>
      </c>
    </row>
    <row r="117" spans="1:11" x14ac:dyDescent="0.3">
      <c r="A117" t="s">
        <v>338</v>
      </c>
      <c r="B117" t="s">
        <v>75</v>
      </c>
      <c r="C117">
        <v>0</v>
      </c>
      <c r="D117">
        <v>0</v>
      </c>
      <c r="E117">
        <v>0</v>
      </c>
      <c r="F117">
        <v>0</v>
      </c>
      <c r="G117">
        <v>0</v>
      </c>
      <c r="H117">
        <v>4</v>
      </c>
      <c r="I117">
        <v>18</v>
      </c>
      <c r="J117">
        <v>3</v>
      </c>
      <c r="K117">
        <v>4.5</v>
      </c>
    </row>
    <row r="118" spans="1:11" x14ac:dyDescent="0.3">
      <c r="A118" t="s">
        <v>339</v>
      </c>
      <c r="B118" t="s">
        <v>34</v>
      </c>
      <c r="C118">
        <v>80</v>
      </c>
      <c r="D118">
        <v>45</v>
      </c>
      <c r="E118">
        <v>8</v>
      </c>
      <c r="F118">
        <v>4</v>
      </c>
      <c r="G118">
        <v>177.78</v>
      </c>
      <c r="H118">
        <v>0</v>
      </c>
      <c r="I118">
        <v>0</v>
      </c>
      <c r="J118">
        <v>0</v>
      </c>
      <c r="K118">
        <v>0</v>
      </c>
    </row>
    <row r="119" spans="1:11" x14ac:dyDescent="0.3">
      <c r="A119" t="s">
        <v>340</v>
      </c>
      <c r="B119" t="s">
        <v>89</v>
      </c>
      <c r="C119">
        <v>0</v>
      </c>
      <c r="D119">
        <v>0</v>
      </c>
      <c r="E119">
        <v>0</v>
      </c>
      <c r="F119">
        <v>0</v>
      </c>
      <c r="G119">
        <v>0</v>
      </c>
      <c r="H119">
        <v>4</v>
      </c>
      <c r="I119">
        <v>30</v>
      </c>
      <c r="J119">
        <v>2</v>
      </c>
      <c r="K119">
        <v>7.5</v>
      </c>
    </row>
    <row r="120" spans="1:11" x14ac:dyDescent="0.3">
      <c r="A120" t="s">
        <v>341</v>
      </c>
      <c r="B120" t="s">
        <v>53</v>
      </c>
      <c r="C120">
        <v>50</v>
      </c>
      <c r="D120">
        <v>25</v>
      </c>
      <c r="E120">
        <v>5</v>
      </c>
      <c r="F120">
        <v>3</v>
      </c>
      <c r="G120">
        <v>200</v>
      </c>
      <c r="H120">
        <v>0</v>
      </c>
      <c r="I120">
        <v>0</v>
      </c>
      <c r="J120">
        <v>0</v>
      </c>
      <c r="K120">
        <v>0</v>
      </c>
    </row>
    <row r="121" spans="1:11" x14ac:dyDescent="0.3">
      <c r="A121" t="s">
        <v>342</v>
      </c>
      <c r="B121" t="s">
        <v>68</v>
      </c>
      <c r="C121">
        <v>0</v>
      </c>
      <c r="D121">
        <v>0</v>
      </c>
      <c r="E121">
        <v>0</v>
      </c>
      <c r="F121">
        <v>0</v>
      </c>
      <c r="G121">
        <v>0</v>
      </c>
      <c r="H121">
        <v>4</v>
      </c>
      <c r="I121">
        <v>28</v>
      </c>
      <c r="J121">
        <v>2</v>
      </c>
      <c r="K121">
        <v>7</v>
      </c>
    </row>
    <row r="122" spans="1:11" x14ac:dyDescent="0.3">
      <c r="A122" t="s">
        <v>343</v>
      </c>
      <c r="B122" t="s">
        <v>95</v>
      </c>
      <c r="C122">
        <v>70</v>
      </c>
      <c r="D122">
        <v>40</v>
      </c>
      <c r="E122">
        <v>7</v>
      </c>
      <c r="F122">
        <v>3</v>
      </c>
      <c r="G122">
        <v>175</v>
      </c>
      <c r="H122">
        <v>0</v>
      </c>
      <c r="I122">
        <v>0</v>
      </c>
      <c r="J122">
        <v>0</v>
      </c>
      <c r="K122">
        <v>0</v>
      </c>
    </row>
    <row r="123" spans="1:11" x14ac:dyDescent="0.3">
      <c r="A123" t="s">
        <v>344</v>
      </c>
      <c r="B123" t="s">
        <v>107</v>
      </c>
      <c r="C123">
        <v>0</v>
      </c>
      <c r="D123">
        <v>0</v>
      </c>
      <c r="E123">
        <v>0</v>
      </c>
      <c r="F123">
        <v>0</v>
      </c>
      <c r="G123">
        <v>0</v>
      </c>
      <c r="H123">
        <v>4</v>
      </c>
      <c r="I123">
        <v>35</v>
      </c>
      <c r="J123">
        <v>1</v>
      </c>
      <c r="K123">
        <v>8.75</v>
      </c>
    </row>
    <row r="124" spans="1:11" x14ac:dyDescent="0.3">
      <c r="A124" t="s">
        <v>345</v>
      </c>
      <c r="B124" t="s">
        <v>111</v>
      </c>
      <c r="C124">
        <v>85</v>
      </c>
      <c r="D124">
        <v>50</v>
      </c>
      <c r="E124">
        <v>8</v>
      </c>
      <c r="F124">
        <v>4</v>
      </c>
      <c r="G124">
        <v>170</v>
      </c>
      <c r="H124">
        <v>0</v>
      </c>
      <c r="I124">
        <v>0</v>
      </c>
      <c r="J124">
        <v>0</v>
      </c>
      <c r="K124">
        <v>0</v>
      </c>
    </row>
    <row r="125" spans="1:11" x14ac:dyDescent="0.3">
      <c r="A125" t="s">
        <v>346</v>
      </c>
      <c r="B125" t="s">
        <v>16</v>
      </c>
      <c r="C125">
        <v>0</v>
      </c>
      <c r="D125">
        <v>0</v>
      </c>
      <c r="E125">
        <v>0</v>
      </c>
      <c r="F125">
        <v>0</v>
      </c>
      <c r="G125">
        <v>0</v>
      </c>
      <c r="H125">
        <v>4</v>
      </c>
      <c r="I125">
        <v>22</v>
      </c>
      <c r="J125">
        <v>3</v>
      </c>
      <c r="K125">
        <v>5.5</v>
      </c>
    </row>
    <row r="126" spans="1:11" x14ac:dyDescent="0.3">
      <c r="A126" t="s">
        <v>347</v>
      </c>
      <c r="B126" t="s">
        <v>51</v>
      </c>
      <c r="C126">
        <v>0</v>
      </c>
      <c r="D126">
        <v>0</v>
      </c>
      <c r="E126">
        <v>0</v>
      </c>
      <c r="F126">
        <v>0</v>
      </c>
      <c r="G126">
        <v>0</v>
      </c>
      <c r="H126">
        <v>4</v>
      </c>
      <c r="I126">
        <v>30</v>
      </c>
      <c r="J126">
        <v>2</v>
      </c>
      <c r="K126">
        <v>7.5</v>
      </c>
    </row>
    <row r="127" spans="1:11" x14ac:dyDescent="0.3">
      <c r="A127" t="s">
        <v>348</v>
      </c>
      <c r="B127" t="s">
        <v>21</v>
      </c>
      <c r="C127">
        <v>60</v>
      </c>
      <c r="D127">
        <v>35</v>
      </c>
      <c r="E127">
        <v>6</v>
      </c>
      <c r="F127">
        <v>2</v>
      </c>
      <c r="G127">
        <v>171.43</v>
      </c>
      <c r="H127">
        <v>0</v>
      </c>
      <c r="I127">
        <v>0</v>
      </c>
      <c r="J127">
        <v>0</v>
      </c>
      <c r="K127">
        <v>0</v>
      </c>
    </row>
    <row r="128" spans="1:11" x14ac:dyDescent="0.3">
      <c r="A128" t="s">
        <v>349</v>
      </c>
      <c r="B128" t="s">
        <v>101</v>
      </c>
      <c r="C128">
        <v>0</v>
      </c>
      <c r="D128">
        <v>0</v>
      </c>
      <c r="E128">
        <v>0</v>
      </c>
      <c r="F128">
        <v>0</v>
      </c>
      <c r="G128">
        <v>0</v>
      </c>
      <c r="H128">
        <v>4</v>
      </c>
      <c r="I128">
        <v>30</v>
      </c>
      <c r="J128">
        <v>3</v>
      </c>
      <c r="K128">
        <v>7.5</v>
      </c>
    </row>
    <row r="129" spans="1:11" x14ac:dyDescent="0.3">
      <c r="A129" t="s">
        <v>350</v>
      </c>
      <c r="B129" t="s">
        <v>8</v>
      </c>
      <c r="C129">
        <v>75</v>
      </c>
      <c r="D129">
        <v>45</v>
      </c>
      <c r="E129">
        <v>7</v>
      </c>
      <c r="F129">
        <v>3</v>
      </c>
      <c r="G129">
        <v>166.67</v>
      </c>
      <c r="H129">
        <v>0</v>
      </c>
      <c r="I129">
        <v>0</v>
      </c>
      <c r="J129">
        <v>0</v>
      </c>
      <c r="K129">
        <v>0</v>
      </c>
    </row>
    <row r="130" spans="1:11" x14ac:dyDescent="0.3">
      <c r="A130" t="s">
        <v>351</v>
      </c>
      <c r="B130" t="s">
        <v>37</v>
      </c>
      <c r="C130">
        <v>0</v>
      </c>
      <c r="D130">
        <v>0</v>
      </c>
      <c r="E130">
        <v>0</v>
      </c>
      <c r="F130">
        <v>0</v>
      </c>
      <c r="G130">
        <v>0</v>
      </c>
      <c r="H130">
        <v>4</v>
      </c>
      <c r="I130">
        <v>28</v>
      </c>
      <c r="J130">
        <v>2</v>
      </c>
      <c r="K130">
        <v>7</v>
      </c>
    </row>
    <row r="131" spans="1:11" x14ac:dyDescent="0.3">
      <c r="A131" t="s">
        <v>352</v>
      </c>
      <c r="B131" t="s">
        <v>59</v>
      </c>
      <c r="C131">
        <v>65</v>
      </c>
      <c r="D131">
        <v>40</v>
      </c>
      <c r="E131">
        <v>6</v>
      </c>
      <c r="F131">
        <v>3</v>
      </c>
      <c r="G131">
        <v>162.5</v>
      </c>
      <c r="H131">
        <v>0</v>
      </c>
      <c r="I131">
        <v>0</v>
      </c>
      <c r="J131">
        <v>0</v>
      </c>
      <c r="K131">
        <v>0</v>
      </c>
    </row>
    <row r="132" spans="1:11" x14ac:dyDescent="0.3">
      <c r="A132" t="s">
        <v>353</v>
      </c>
      <c r="B132" t="s">
        <v>84</v>
      </c>
      <c r="C132">
        <v>95</v>
      </c>
      <c r="D132">
        <v>50</v>
      </c>
      <c r="E132">
        <v>10</v>
      </c>
      <c r="F132">
        <v>4</v>
      </c>
      <c r="G132">
        <v>190</v>
      </c>
      <c r="H132">
        <v>0</v>
      </c>
      <c r="I132">
        <v>0</v>
      </c>
      <c r="J132">
        <v>0</v>
      </c>
      <c r="K132">
        <v>0</v>
      </c>
    </row>
    <row r="133" spans="1:11" x14ac:dyDescent="0.3">
      <c r="A133" t="s">
        <v>354</v>
      </c>
      <c r="B133" t="s">
        <v>91</v>
      </c>
      <c r="C133">
        <v>0</v>
      </c>
      <c r="D133">
        <v>0</v>
      </c>
      <c r="E133">
        <v>0</v>
      </c>
      <c r="F133">
        <v>0</v>
      </c>
      <c r="G133">
        <v>0</v>
      </c>
      <c r="H133">
        <v>4</v>
      </c>
      <c r="I133">
        <v>25</v>
      </c>
      <c r="J133">
        <v>2</v>
      </c>
      <c r="K133">
        <v>6.25</v>
      </c>
    </row>
    <row r="134" spans="1:11" x14ac:dyDescent="0.3">
      <c r="A134" t="s">
        <v>355</v>
      </c>
      <c r="B134" t="s">
        <v>95</v>
      </c>
      <c r="C134">
        <v>80</v>
      </c>
      <c r="D134">
        <v>45</v>
      </c>
      <c r="E134">
        <v>8</v>
      </c>
      <c r="F134">
        <v>3</v>
      </c>
      <c r="G134">
        <v>177.78</v>
      </c>
      <c r="H134">
        <v>0</v>
      </c>
      <c r="I134">
        <v>0</v>
      </c>
      <c r="J134">
        <v>0</v>
      </c>
      <c r="K134">
        <v>0</v>
      </c>
    </row>
    <row r="135" spans="1:11" x14ac:dyDescent="0.3">
      <c r="A135" t="s">
        <v>356</v>
      </c>
      <c r="B135" t="s">
        <v>47</v>
      </c>
      <c r="C135">
        <v>45</v>
      </c>
      <c r="D135">
        <v>25</v>
      </c>
      <c r="E135">
        <v>4</v>
      </c>
      <c r="F135">
        <v>2</v>
      </c>
      <c r="G135">
        <v>180</v>
      </c>
      <c r="H135">
        <v>0</v>
      </c>
      <c r="I135">
        <v>0</v>
      </c>
      <c r="J135">
        <v>0</v>
      </c>
      <c r="K135">
        <v>0</v>
      </c>
    </row>
    <row r="136" spans="1:11" x14ac:dyDescent="0.3">
      <c r="A136" t="s">
        <v>357</v>
      </c>
      <c r="B136" t="s">
        <v>66</v>
      </c>
      <c r="C136">
        <v>35</v>
      </c>
      <c r="D136">
        <v>20</v>
      </c>
      <c r="E136">
        <v>4</v>
      </c>
      <c r="F136">
        <v>2</v>
      </c>
      <c r="G136">
        <v>175</v>
      </c>
      <c r="H136">
        <v>4</v>
      </c>
      <c r="I136">
        <v>30</v>
      </c>
      <c r="J136">
        <v>2</v>
      </c>
      <c r="K136">
        <v>7.5</v>
      </c>
    </row>
    <row r="137" spans="1:11" x14ac:dyDescent="0.3">
      <c r="A137" t="s">
        <v>358</v>
      </c>
      <c r="B137" t="s">
        <v>68</v>
      </c>
      <c r="C137">
        <v>0</v>
      </c>
      <c r="D137">
        <v>0</v>
      </c>
      <c r="E137">
        <v>0</v>
      </c>
      <c r="F137">
        <v>0</v>
      </c>
      <c r="G137">
        <v>0</v>
      </c>
      <c r="H137">
        <v>4</v>
      </c>
      <c r="I137">
        <v>25</v>
      </c>
      <c r="J137">
        <v>2</v>
      </c>
      <c r="K137">
        <v>6.25</v>
      </c>
    </row>
    <row r="138" spans="1:11" x14ac:dyDescent="0.3">
      <c r="A138" t="s">
        <v>359</v>
      </c>
      <c r="B138" t="s">
        <v>34</v>
      </c>
      <c r="C138">
        <v>90</v>
      </c>
      <c r="D138">
        <v>50</v>
      </c>
      <c r="E138">
        <v>9</v>
      </c>
      <c r="F138">
        <v>4</v>
      </c>
      <c r="G138">
        <v>180</v>
      </c>
      <c r="H138">
        <v>0</v>
      </c>
      <c r="I138">
        <v>0</v>
      </c>
      <c r="J138">
        <v>0</v>
      </c>
      <c r="K138">
        <v>0</v>
      </c>
    </row>
    <row r="139" spans="1:11" x14ac:dyDescent="0.3">
      <c r="A139" t="s">
        <v>360</v>
      </c>
      <c r="B139" t="s">
        <v>41</v>
      </c>
      <c r="C139">
        <v>50</v>
      </c>
      <c r="D139">
        <v>30</v>
      </c>
      <c r="E139">
        <v>5</v>
      </c>
      <c r="F139">
        <v>2</v>
      </c>
      <c r="G139">
        <v>166.67</v>
      </c>
      <c r="H139">
        <v>0</v>
      </c>
      <c r="I139">
        <v>0</v>
      </c>
      <c r="J139">
        <v>0</v>
      </c>
      <c r="K139">
        <v>0</v>
      </c>
    </row>
    <row r="140" spans="1:11" x14ac:dyDescent="0.3">
      <c r="A140" t="s">
        <v>361</v>
      </c>
      <c r="B140" t="s">
        <v>117</v>
      </c>
      <c r="C140">
        <v>80</v>
      </c>
      <c r="D140">
        <v>45</v>
      </c>
      <c r="E140">
        <v>8</v>
      </c>
      <c r="F140">
        <v>3</v>
      </c>
      <c r="G140">
        <v>177.78</v>
      </c>
      <c r="H140">
        <v>0</v>
      </c>
      <c r="I140">
        <v>0</v>
      </c>
      <c r="J140">
        <v>0</v>
      </c>
      <c r="K140">
        <v>0</v>
      </c>
    </row>
    <row r="141" spans="1:11" x14ac:dyDescent="0.3">
      <c r="A141" t="s">
        <v>362</v>
      </c>
      <c r="B141" t="s">
        <v>119</v>
      </c>
      <c r="C141">
        <v>60</v>
      </c>
      <c r="D141">
        <v>35</v>
      </c>
      <c r="E141">
        <v>6</v>
      </c>
      <c r="F141">
        <v>3</v>
      </c>
      <c r="G141">
        <v>171.43</v>
      </c>
      <c r="H141">
        <v>0</v>
      </c>
      <c r="I141">
        <v>0</v>
      </c>
      <c r="J141">
        <v>0</v>
      </c>
      <c r="K14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48C2D-46D1-4560-903D-D03A60DEE51A}">
  <dimension ref="A3:P22"/>
  <sheetViews>
    <sheetView zoomScale="76" workbookViewId="0">
      <selection activeCell="D42" sqref="D42"/>
    </sheetView>
  </sheetViews>
  <sheetFormatPr defaultRowHeight="14.4" x14ac:dyDescent="0.3"/>
  <cols>
    <col min="1" max="1" width="29.88671875" bestFit="1" customWidth="1"/>
    <col min="2" max="4" width="10.21875" bestFit="1" customWidth="1"/>
    <col min="5" max="5" width="12.6640625" bestFit="1" customWidth="1"/>
    <col min="6" max="6" width="5.77734375" bestFit="1" customWidth="1"/>
    <col min="7" max="7" width="14" bestFit="1" customWidth="1"/>
    <col min="8" max="8" width="10.21875" bestFit="1" customWidth="1"/>
    <col min="9" max="14" width="5.77734375" bestFit="1" customWidth="1"/>
    <col min="15" max="15" width="29.88671875" bestFit="1" customWidth="1"/>
    <col min="16" max="16" width="10.21875" bestFit="1" customWidth="1"/>
    <col min="17" max="19" width="5.77734375" bestFit="1" customWidth="1"/>
    <col min="20" max="20" width="5.77734375" customWidth="1"/>
    <col min="21" max="21" width="14" bestFit="1" customWidth="1"/>
    <col min="22" max="22" width="10.21875" bestFit="1" customWidth="1"/>
    <col min="23" max="61" width="5.77734375" bestFit="1" customWidth="1"/>
    <col min="62" max="62" width="10.77734375" bestFit="1" customWidth="1"/>
  </cols>
  <sheetData>
    <row r="3" spans="1:16" x14ac:dyDescent="0.3">
      <c r="A3" s="2" t="s">
        <v>364</v>
      </c>
      <c r="B3" t="s">
        <v>365</v>
      </c>
      <c r="C3" t="s">
        <v>368</v>
      </c>
      <c r="D3" t="s">
        <v>366</v>
      </c>
      <c r="E3" t="s">
        <v>367</v>
      </c>
      <c r="G3" s="2" t="s">
        <v>364</v>
      </c>
      <c r="H3" t="s">
        <v>366</v>
      </c>
      <c r="O3" s="2" t="s">
        <v>364</v>
      </c>
      <c r="P3" t="s">
        <v>366</v>
      </c>
    </row>
    <row r="4" spans="1:16" x14ac:dyDescent="0.3">
      <c r="A4" s="3" t="s">
        <v>133</v>
      </c>
      <c r="B4">
        <v>8</v>
      </c>
      <c r="C4" s="4">
        <v>5</v>
      </c>
      <c r="D4" s="4">
        <v>2869</v>
      </c>
      <c r="E4" s="4">
        <v>103</v>
      </c>
      <c r="G4" s="3" t="s">
        <v>374</v>
      </c>
      <c r="H4" s="8">
        <v>2234</v>
      </c>
      <c r="O4" s="3" t="s">
        <v>133</v>
      </c>
      <c r="P4">
        <v>2869</v>
      </c>
    </row>
    <row r="5" spans="1:16" x14ac:dyDescent="0.3">
      <c r="A5" s="3" t="s">
        <v>151</v>
      </c>
      <c r="B5">
        <v>7</v>
      </c>
      <c r="C5" s="4">
        <v>2</v>
      </c>
      <c r="D5" s="4">
        <v>2420</v>
      </c>
      <c r="E5" s="4">
        <v>85</v>
      </c>
      <c r="G5" s="3" t="s">
        <v>375</v>
      </c>
      <c r="H5" s="8">
        <v>366</v>
      </c>
      <c r="O5" s="3" t="s">
        <v>151</v>
      </c>
      <c r="P5">
        <v>2420</v>
      </c>
    </row>
    <row r="6" spans="1:16" x14ac:dyDescent="0.3">
      <c r="A6" s="3" t="s">
        <v>145</v>
      </c>
      <c r="B6">
        <v>8</v>
      </c>
      <c r="C6" s="4">
        <v>4</v>
      </c>
      <c r="D6" s="4">
        <v>2788</v>
      </c>
      <c r="E6" s="4">
        <v>107</v>
      </c>
      <c r="G6" s="3" t="s">
        <v>363</v>
      </c>
      <c r="H6" s="8">
        <v>2600</v>
      </c>
      <c r="O6" s="3" t="s">
        <v>145</v>
      </c>
      <c r="P6">
        <v>2788</v>
      </c>
    </row>
    <row r="7" spans="1:16" x14ac:dyDescent="0.3">
      <c r="A7" s="3" t="s">
        <v>127</v>
      </c>
      <c r="B7">
        <v>8</v>
      </c>
      <c r="C7" s="4">
        <v>4</v>
      </c>
      <c r="D7" s="4">
        <v>2735</v>
      </c>
      <c r="E7" s="4">
        <v>110</v>
      </c>
      <c r="O7" s="3" t="s">
        <v>127</v>
      </c>
      <c r="P7">
        <v>2735</v>
      </c>
    </row>
    <row r="8" spans="1:16" x14ac:dyDescent="0.3">
      <c r="A8" s="3" t="s">
        <v>163</v>
      </c>
      <c r="B8">
        <v>7</v>
      </c>
      <c r="C8" s="4">
        <v>2</v>
      </c>
      <c r="D8" s="4">
        <v>2458</v>
      </c>
      <c r="E8" s="4">
        <v>89</v>
      </c>
      <c r="O8" s="3" t="s">
        <v>163</v>
      </c>
      <c r="P8">
        <v>2458</v>
      </c>
    </row>
    <row r="9" spans="1:16" x14ac:dyDescent="0.3">
      <c r="A9" s="3" t="s">
        <v>157</v>
      </c>
      <c r="B9">
        <v>7</v>
      </c>
      <c r="C9" s="4">
        <v>4</v>
      </c>
      <c r="D9" s="4">
        <v>2318</v>
      </c>
      <c r="E9" s="4">
        <v>105</v>
      </c>
      <c r="O9" s="3" t="s">
        <v>157</v>
      </c>
      <c r="P9">
        <v>2318</v>
      </c>
    </row>
    <row r="10" spans="1:16" x14ac:dyDescent="0.3">
      <c r="A10" s="3" t="s">
        <v>139</v>
      </c>
      <c r="B10">
        <v>7</v>
      </c>
      <c r="C10" s="4">
        <v>4</v>
      </c>
      <c r="D10" s="4">
        <v>2600</v>
      </c>
      <c r="E10" s="4">
        <v>88</v>
      </c>
      <c r="O10" s="3" t="s">
        <v>139</v>
      </c>
      <c r="P10">
        <v>2600</v>
      </c>
    </row>
    <row r="11" spans="1:16" x14ac:dyDescent="0.3">
      <c r="A11" s="3" t="s">
        <v>169</v>
      </c>
      <c r="B11">
        <v>8</v>
      </c>
      <c r="C11" s="4">
        <v>5</v>
      </c>
      <c r="D11" s="4">
        <v>2756</v>
      </c>
      <c r="E11" s="4">
        <v>112</v>
      </c>
      <c r="O11" s="3" t="s">
        <v>169</v>
      </c>
      <c r="P11">
        <v>2756</v>
      </c>
    </row>
    <row r="12" spans="1:16" x14ac:dyDescent="0.3">
      <c r="A12" s="3" t="s">
        <v>363</v>
      </c>
      <c r="B12">
        <v>60</v>
      </c>
      <c r="C12" s="4">
        <v>0</v>
      </c>
      <c r="D12" s="4">
        <v>20944</v>
      </c>
      <c r="E12" s="4">
        <v>799</v>
      </c>
      <c r="O12" s="3" t="s">
        <v>363</v>
      </c>
      <c r="P12">
        <v>20944</v>
      </c>
    </row>
    <row r="15" spans="1:16" x14ac:dyDescent="0.3">
      <c r="A15" s="2" t="s">
        <v>364</v>
      </c>
      <c r="B15" t="s">
        <v>368</v>
      </c>
    </row>
    <row r="16" spans="1:16" x14ac:dyDescent="0.3">
      <c r="A16" s="3" t="s">
        <v>139</v>
      </c>
      <c r="B16" s="4">
        <v>4</v>
      </c>
    </row>
    <row r="17" spans="1:2" x14ac:dyDescent="0.3">
      <c r="A17" s="3" t="s">
        <v>363</v>
      </c>
      <c r="B17" s="4">
        <v>4</v>
      </c>
    </row>
    <row r="20" spans="1:2" x14ac:dyDescent="0.3">
      <c r="A20" s="2" t="s">
        <v>364</v>
      </c>
      <c r="B20" t="s">
        <v>378</v>
      </c>
    </row>
    <row r="21" spans="1:2" x14ac:dyDescent="0.3">
      <c r="A21" s="3" t="s">
        <v>136</v>
      </c>
      <c r="B21">
        <v>8</v>
      </c>
    </row>
    <row r="22" spans="1:2" x14ac:dyDescent="0.3">
      <c r="A22" s="3" t="s">
        <v>363</v>
      </c>
      <c r="B22">
        <v>8</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2200A-AAA5-437E-BDCF-A5E74F56CC39}">
  <dimension ref="O8:Q33"/>
  <sheetViews>
    <sheetView zoomScale="86" zoomScaleNormal="85" workbookViewId="0">
      <selection activeCell="O16" sqref="O16:Q19"/>
    </sheetView>
  </sheetViews>
  <sheetFormatPr defaultRowHeight="14.4" x14ac:dyDescent="0.3"/>
  <sheetData>
    <row r="8" spans="15:17" x14ac:dyDescent="0.3">
      <c r="O8" s="6" t="s">
        <v>365</v>
      </c>
      <c r="P8" s="6"/>
      <c r="Q8" s="6"/>
    </row>
    <row r="9" spans="15:17" x14ac:dyDescent="0.3">
      <c r="O9" s="7">
        <f>GETPIVOTDATA("[Measures].[Count of Match_ID]",'Team Summary'!$A$3)</f>
        <v>60</v>
      </c>
      <c r="P9" s="7"/>
      <c r="Q9" s="7"/>
    </row>
    <row r="10" spans="15:17" x14ac:dyDescent="0.3">
      <c r="O10" s="7"/>
      <c r="P10" s="7"/>
      <c r="Q10" s="7"/>
    </row>
    <row r="11" spans="15:17" x14ac:dyDescent="0.3">
      <c r="O11" s="7"/>
      <c r="P11" s="7"/>
      <c r="Q11" s="7"/>
    </row>
    <row r="12" spans="15:17" x14ac:dyDescent="0.3">
      <c r="O12" s="7"/>
      <c r="P12" s="7"/>
      <c r="Q12" s="7"/>
    </row>
    <row r="15" spans="15:17" x14ac:dyDescent="0.3">
      <c r="O15" s="6" t="s">
        <v>376</v>
      </c>
      <c r="P15" s="6"/>
      <c r="Q15" s="6"/>
    </row>
    <row r="16" spans="15:17" x14ac:dyDescent="0.3">
      <c r="O16" s="7">
        <v>8</v>
      </c>
      <c r="P16" s="7"/>
      <c r="Q16" s="7"/>
    </row>
    <row r="17" spans="15:17" x14ac:dyDescent="0.3">
      <c r="O17" s="7"/>
      <c r="P17" s="7"/>
      <c r="Q17" s="7"/>
    </row>
    <row r="18" spans="15:17" x14ac:dyDescent="0.3">
      <c r="O18" s="7"/>
      <c r="P18" s="7"/>
      <c r="Q18" s="7"/>
    </row>
    <row r="19" spans="15:17" x14ac:dyDescent="0.3">
      <c r="O19" s="7"/>
      <c r="P19" s="7"/>
      <c r="Q19" s="7"/>
    </row>
    <row r="22" spans="15:17" x14ac:dyDescent="0.3">
      <c r="O22" s="6" t="s">
        <v>366</v>
      </c>
      <c r="P22" s="6"/>
      <c r="Q22" s="6"/>
    </row>
    <row r="23" spans="15:17" x14ac:dyDescent="0.3">
      <c r="O23" s="7">
        <f>GETPIVOTDATA("[Measures].[TotalRuns]",'Team Summary'!$A$3)</f>
        <v>20944</v>
      </c>
      <c r="P23" s="7"/>
      <c r="Q23" s="7"/>
    </row>
    <row r="24" spans="15:17" x14ac:dyDescent="0.3">
      <c r="O24" s="7"/>
      <c r="P24" s="7"/>
      <c r="Q24" s="7"/>
    </row>
    <row r="25" spans="15:17" x14ac:dyDescent="0.3">
      <c r="O25" s="7"/>
      <c r="P25" s="7"/>
      <c r="Q25" s="7"/>
    </row>
    <row r="26" spans="15:17" x14ac:dyDescent="0.3">
      <c r="O26" s="7"/>
      <c r="P26" s="7"/>
      <c r="Q26" s="7"/>
    </row>
    <row r="29" spans="15:17" x14ac:dyDescent="0.3">
      <c r="O29" s="6" t="s">
        <v>367</v>
      </c>
      <c r="P29" s="6"/>
      <c r="Q29" s="6"/>
    </row>
    <row r="30" spans="15:17" x14ac:dyDescent="0.3">
      <c r="O30" s="7">
        <f>GETPIVOTDATA("[Measures].[TotalWickets]",'Team Summary'!$A$3)</f>
        <v>799</v>
      </c>
      <c r="P30" s="7"/>
      <c r="Q30" s="7"/>
    </row>
    <row r="31" spans="15:17" x14ac:dyDescent="0.3">
      <c r="O31" s="7"/>
      <c r="P31" s="7"/>
      <c r="Q31" s="7"/>
    </row>
    <row r="32" spans="15:17" x14ac:dyDescent="0.3">
      <c r="O32" s="7"/>
      <c r="P32" s="7"/>
      <c r="Q32" s="7"/>
    </row>
    <row r="33" spans="15:17" x14ac:dyDescent="0.3">
      <c r="O33" s="7"/>
      <c r="P33" s="7"/>
      <c r="Q33" s="7"/>
    </row>
  </sheetData>
  <mergeCells count="8">
    <mergeCell ref="O29:Q29"/>
    <mergeCell ref="O30:Q33"/>
    <mergeCell ref="O8:Q8"/>
    <mergeCell ref="O9:Q12"/>
    <mergeCell ref="O15:Q15"/>
    <mergeCell ref="O16:Q19"/>
    <mergeCell ref="O22:Q22"/>
    <mergeCell ref="O23:Q2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185C7-E3CE-4D1B-9CDC-A96789FD6FFF}">
  <dimension ref="F9:I9"/>
  <sheetViews>
    <sheetView zoomScale="49" workbookViewId="0">
      <selection activeCell="I9" sqref="I9"/>
    </sheetView>
  </sheetViews>
  <sheetFormatPr defaultRowHeight="14.4" x14ac:dyDescent="0.3"/>
  <sheetData>
    <row r="9" spans="6:9" x14ac:dyDescent="0.3">
      <c r="F9" t="s">
        <v>379</v>
      </c>
      <c r="I9" t="s">
        <v>380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24A9E-1134-46E1-A3A8-4B2D1137469D}">
  <dimension ref="A3:V74"/>
  <sheetViews>
    <sheetView topLeftCell="A39" zoomScale="58" workbookViewId="0">
      <selection activeCell="E64" sqref="E64:E73"/>
    </sheetView>
  </sheetViews>
  <sheetFormatPr defaultRowHeight="14.4" x14ac:dyDescent="0.3"/>
  <cols>
    <col min="1" max="1" width="28.21875" bestFit="1" customWidth="1"/>
    <col min="2" max="2" width="14.44140625" bestFit="1" customWidth="1"/>
    <col min="3" max="3" width="26.33203125" bestFit="1" customWidth="1"/>
    <col min="4" max="4" width="17.88671875" bestFit="1" customWidth="1"/>
    <col min="5" max="5" width="16" bestFit="1" customWidth="1"/>
    <col min="6" max="6" width="23.109375" bestFit="1" customWidth="1"/>
    <col min="7" max="7" width="12.33203125" bestFit="1" customWidth="1"/>
    <col min="9" max="9" width="28.21875" bestFit="1" customWidth="1"/>
    <col min="10" max="10" width="14.44140625" bestFit="1" customWidth="1"/>
    <col min="11" max="13" width="8.88671875" bestFit="1" customWidth="1"/>
    <col min="16" max="16" width="28.21875" bestFit="1" customWidth="1"/>
    <col min="17" max="17" width="22" bestFit="1" customWidth="1"/>
    <col min="21" max="21" width="28.21875" bestFit="1" customWidth="1"/>
    <col min="22" max="22" width="17.88671875" bestFit="1" customWidth="1"/>
    <col min="23" max="25" width="8.88671875" bestFit="1" customWidth="1"/>
  </cols>
  <sheetData>
    <row r="3" spans="1:22" x14ac:dyDescent="0.3">
      <c r="A3" s="2" t="s">
        <v>369</v>
      </c>
      <c r="B3" t="s">
        <v>366</v>
      </c>
      <c r="C3" t="s">
        <v>370</v>
      </c>
      <c r="D3" t="s">
        <v>367</v>
      </c>
      <c r="E3" t="s">
        <v>371</v>
      </c>
      <c r="F3" t="s">
        <v>373</v>
      </c>
      <c r="G3" t="s">
        <v>282</v>
      </c>
      <c r="I3" s="2" t="s">
        <v>369</v>
      </c>
      <c r="J3" t="s">
        <v>366</v>
      </c>
      <c r="U3" s="2" t="s">
        <v>369</v>
      </c>
      <c r="V3" t="s">
        <v>367</v>
      </c>
    </row>
    <row r="4" spans="1:22" x14ac:dyDescent="0.3">
      <c r="A4" s="3" t="s">
        <v>112</v>
      </c>
      <c r="B4" s="8">
        <v>420</v>
      </c>
      <c r="C4" s="8">
        <v>250</v>
      </c>
      <c r="D4" s="8">
        <v>0</v>
      </c>
      <c r="E4" s="8">
        <v>0</v>
      </c>
      <c r="F4" s="8">
        <v>1004.92</v>
      </c>
      <c r="G4" s="8">
        <v>0</v>
      </c>
      <c r="I4" s="3" t="s">
        <v>112</v>
      </c>
      <c r="J4" s="8">
        <v>420</v>
      </c>
      <c r="U4" s="3" t="s">
        <v>112</v>
      </c>
      <c r="V4" s="8">
        <v>0</v>
      </c>
    </row>
    <row r="5" spans="1:22" x14ac:dyDescent="0.3">
      <c r="A5" s="3" t="s">
        <v>64</v>
      </c>
      <c r="B5" s="8">
        <v>343</v>
      </c>
      <c r="C5" s="8">
        <v>179</v>
      </c>
      <c r="D5" s="8">
        <v>11</v>
      </c>
      <c r="E5" s="8">
        <v>216</v>
      </c>
      <c r="F5" s="8">
        <v>1145.28</v>
      </c>
      <c r="G5" s="8">
        <v>54</v>
      </c>
      <c r="I5" s="3" t="s">
        <v>64</v>
      </c>
      <c r="J5" s="8">
        <v>343</v>
      </c>
      <c r="U5" s="3" t="s">
        <v>64</v>
      </c>
      <c r="V5" s="8">
        <v>11</v>
      </c>
    </row>
    <row r="6" spans="1:22" x14ac:dyDescent="0.3">
      <c r="A6" s="3" t="s">
        <v>102</v>
      </c>
      <c r="B6" s="8">
        <v>0</v>
      </c>
      <c r="C6" s="8">
        <v>0</v>
      </c>
      <c r="D6" s="8">
        <v>14</v>
      </c>
      <c r="E6" s="8">
        <v>134</v>
      </c>
      <c r="F6" s="8">
        <v>0</v>
      </c>
      <c r="G6" s="8">
        <v>33.5</v>
      </c>
      <c r="I6" s="3" t="s">
        <v>102</v>
      </c>
      <c r="J6" s="8">
        <v>0</v>
      </c>
      <c r="U6" s="3" t="s">
        <v>102</v>
      </c>
      <c r="V6" s="8">
        <v>14</v>
      </c>
    </row>
    <row r="7" spans="1:22" x14ac:dyDescent="0.3">
      <c r="A7" s="3" t="s">
        <v>82</v>
      </c>
      <c r="B7" s="8">
        <v>0</v>
      </c>
      <c r="C7" s="8">
        <v>0</v>
      </c>
      <c r="D7" s="8">
        <v>7</v>
      </c>
      <c r="E7" s="8">
        <v>67</v>
      </c>
      <c r="F7" s="8">
        <v>0</v>
      </c>
      <c r="G7" s="8">
        <v>16.75</v>
      </c>
      <c r="I7" s="3" t="s">
        <v>82</v>
      </c>
      <c r="J7" s="8">
        <v>0</v>
      </c>
      <c r="U7" s="3" t="s">
        <v>82</v>
      </c>
      <c r="V7" s="8">
        <v>7</v>
      </c>
    </row>
    <row r="8" spans="1:22" x14ac:dyDescent="0.3">
      <c r="A8" s="3" t="s">
        <v>116</v>
      </c>
      <c r="B8" s="8">
        <v>0</v>
      </c>
      <c r="C8" s="8">
        <v>0</v>
      </c>
      <c r="D8" s="8">
        <v>3</v>
      </c>
      <c r="E8" s="8">
        <v>58</v>
      </c>
      <c r="F8" s="8">
        <v>0</v>
      </c>
      <c r="G8" s="8">
        <v>14.5</v>
      </c>
      <c r="I8" s="3" t="s">
        <v>116</v>
      </c>
      <c r="J8" s="8">
        <v>0</v>
      </c>
      <c r="U8" s="3" t="s">
        <v>116</v>
      </c>
      <c r="V8" s="8">
        <v>3</v>
      </c>
    </row>
    <row r="9" spans="1:22" x14ac:dyDescent="0.3">
      <c r="A9" s="3" t="s">
        <v>42</v>
      </c>
      <c r="B9" s="8">
        <v>201</v>
      </c>
      <c r="C9" s="8">
        <v>129</v>
      </c>
      <c r="D9" s="8">
        <v>0</v>
      </c>
      <c r="E9" s="8">
        <v>0</v>
      </c>
      <c r="F9" s="8">
        <v>623.80999999999995</v>
      </c>
      <c r="G9" s="8">
        <v>0</v>
      </c>
      <c r="I9" s="3" t="s">
        <v>42</v>
      </c>
      <c r="J9" s="8">
        <v>201</v>
      </c>
      <c r="U9" s="3" t="s">
        <v>42</v>
      </c>
      <c r="V9" s="8">
        <v>0</v>
      </c>
    </row>
    <row r="10" spans="1:22" x14ac:dyDescent="0.3">
      <c r="A10" s="3" t="s">
        <v>72</v>
      </c>
      <c r="B10" s="8">
        <v>90</v>
      </c>
      <c r="C10" s="8">
        <v>50</v>
      </c>
      <c r="D10" s="8">
        <v>0</v>
      </c>
      <c r="E10" s="8">
        <v>0</v>
      </c>
      <c r="F10" s="8">
        <v>180</v>
      </c>
      <c r="G10" s="8">
        <v>0</v>
      </c>
      <c r="I10" s="3" t="s">
        <v>72</v>
      </c>
      <c r="J10" s="8">
        <v>90</v>
      </c>
      <c r="U10" s="3" t="s">
        <v>72</v>
      </c>
      <c r="V10" s="8">
        <v>0</v>
      </c>
    </row>
    <row r="11" spans="1:22" x14ac:dyDescent="0.3">
      <c r="A11" s="3" t="s">
        <v>38</v>
      </c>
      <c r="B11" s="8">
        <v>0</v>
      </c>
      <c r="C11" s="8">
        <v>0</v>
      </c>
      <c r="D11" s="8">
        <v>15</v>
      </c>
      <c r="E11" s="8">
        <v>153</v>
      </c>
      <c r="F11" s="8">
        <v>0</v>
      </c>
      <c r="G11" s="8">
        <v>38.25</v>
      </c>
      <c r="I11" s="3" t="s">
        <v>38</v>
      </c>
      <c r="J11" s="8">
        <v>0</v>
      </c>
      <c r="U11" s="3" t="s">
        <v>38</v>
      </c>
      <c r="V11" s="8">
        <v>15</v>
      </c>
    </row>
    <row r="12" spans="1:22" x14ac:dyDescent="0.3">
      <c r="A12" s="3" t="s">
        <v>57</v>
      </c>
      <c r="B12" s="8">
        <v>42</v>
      </c>
      <c r="C12" s="8">
        <v>21</v>
      </c>
      <c r="D12" s="8">
        <v>0</v>
      </c>
      <c r="E12" s="8">
        <v>0</v>
      </c>
      <c r="F12" s="8">
        <v>200</v>
      </c>
      <c r="G12" s="8">
        <v>0</v>
      </c>
      <c r="I12" s="3" t="s">
        <v>57</v>
      </c>
      <c r="J12" s="8">
        <v>42</v>
      </c>
      <c r="U12" s="3" t="s">
        <v>57</v>
      </c>
      <c r="V12" s="8">
        <v>0</v>
      </c>
    </row>
    <row r="13" spans="1:22" x14ac:dyDescent="0.3">
      <c r="A13" s="3" t="s">
        <v>54</v>
      </c>
      <c r="B13" s="8">
        <v>118</v>
      </c>
      <c r="C13" s="8">
        <v>65</v>
      </c>
      <c r="D13" s="8">
        <v>0</v>
      </c>
      <c r="E13" s="8">
        <v>0</v>
      </c>
      <c r="F13" s="8">
        <v>370</v>
      </c>
      <c r="G13" s="8">
        <v>0</v>
      </c>
      <c r="I13" s="3" t="s">
        <v>54</v>
      </c>
      <c r="J13" s="8">
        <v>118</v>
      </c>
      <c r="U13" s="3" t="s">
        <v>54</v>
      </c>
      <c r="V13" s="8">
        <v>0</v>
      </c>
    </row>
    <row r="14" spans="1:22" x14ac:dyDescent="0.3">
      <c r="A14" s="3" t="s">
        <v>32</v>
      </c>
      <c r="B14" s="8">
        <v>120</v>
      </c>
      <c r="C14" s="8">
        <v>75</v>
      </c>
      <c r="D14" s="8">
        <v>5</v>
      </c>
      <c r="E14" s="8">
        <v>90</v>
      </c>
      <c r="F14" s="8">
        <v>476.67</v>
      </c>
      <c r="G14" s="8">
        <v>22.5</v>
      </c>
      <c r="I14" s="3" t="s">
        <v>32</v>
      </c>
      <c r="J14" s="8">
        <v>120</v>
      </c>
      <c r="U14" s="3" t="s">
        <v>32</v>
      </c>
      <c r="V14" s="8">
        <v>5</v>
      </c>
    </row>
    <row r="15" spans="1:22" x14ac:dyDescent="0.3">
      <c r="A15" s="3" t="s">
        <v>118</v>
      </c>
      <c r="B15" s="8">
        <v>482</v>
      </c>
      <c r="C15" s="8">
        <v>256</v>
      </c>
      <c r="D15" s="8">
        <v>0</v>
      </c>
      <c r="E15" s="8">
        <v>0</v>
      </c>
      <c r="F15" s="8">
        <v>1334.32</v>
      </c>
      <c r="G15" s="8">
        <v>0</v>
      </c>
      <c r="I15" s="3" t="s">
        <v>118</v>
      </c>
      <c r="J15" s="8">
        <v>482</v>
      </c>
      <c r="U15" s="3" t="s">
        <v>118</v>
      </c>
      <c r="V15" s="8">
        <v>0</v>
      </c>
    </row>
    <row r="16" spans="1:22" x14ac:dyDescent="0.3">
      <c r="A16" s="3" t="s">
        <v>22</v>
      </c>
      <c r="B16" s="8">
        <v>233</v>
      </c>
      <c r="C16" s="8">
        <v>145</v>
      </c>
      <c r="D16" s="8">
        <v>0</v>
      </c>
      <c r="E16" s="8">
        <v>0</v>
      </c>
      <c r="F16" s="8">
        <v>637.62</v>
      </c>
      <c r="G16" s="8">
        <v>0</v>
      </c>
      <c r="I16" s="3" t="s">
        <v>22</v>
      </c>
      <c r="J16" s="8">
        <v>233</v>
      </c>
      <c r="U16" s="3" t="s">
        <v>22</v>
      </c>
      <c r="V16" s="8">
        <v>0</v>
      </c>
    </row>
    <row r="17" spans="1:22" x14ac:dyDescent="0.3">
      <c r="A17" s="3" t="s">
        <v>17</v>
      </c>
      <c r="B17" s="8">
        <v>0</v>
      </c>
      <c r="C17" s="8">
        <v>0</v>
      </c>
      <c r="D17" s="8">
        <v>14</v>
      </c>
      <c r="E17" s="8">
        <v>126</v>
      </c>
      <c r="F17" s="8">
        <v>0</v>
      </c>
      <c r="G17" s="8">
        <v>31.5</v>
      </c>
      <c r="I17" s="3" t="s">
        <v>17</v>
      </c>
      <c r="J17" s="8">
        <v>0</v>
      </c>
      <c r="U17" s="3" t="s">
        <v>17</v>
      </c>
      <c r="V17" s="8">
        <v>14</v>
      </c>
    </row>
    <row r="18" spans="1:22" x14ac:dyDescent="0.3">
      <c r="A18" s="3" t="s">
        <v>106</v>
      </c>
      <c r="B18" s="8">
        <v>70</v>
      </c>
      <c r="C18" s="8">
        <v>42</v>
      </c>
      <c r="D18" s="8">
        <v>0</v>
      </c>
      <c r="E18" s="8">
        <v>0</v>
      </c>
      <c r="F18" s="8">
        <v>166.67</v>
      </c>
      <c r="G18" s="8">
        <v>0</v>
      </c>
      <c r="I18" s="3" t="s">
        <v>106</v>
      </c>
      <c r="J18" s="8">
        <v>70</v>
      </c>
      <c r="U18" s="3" t="s">
        <v>106</v>
      </c>
      <c r="V18" s="8">
        <v>0</v>
      </c>
    </row>
    <row r="19" spans="1:22" x14ac:dyDescent="0.3">
      <c r="A19" s="3" t="s">
        <v>85</v>
      </c>
      <c r="B19" s="8">
        <v>557</v>
      </c>
      <c r="C19" s="8">
        <v>319</v>
      </c>
      <c r="D19" s="8">
        <v>0</v>
      </c>
      <c r="E19" s="8">
        <v>0</v>
      </c>
      <c r="F19" s="8">
        <v>1213.9100000000001</v>
      </c>
      <c r="G19" s="8">
        <v>0</v>
      </c>
      <c r="I19" s="3" t="s">
        <v>85</v>
      </c>
      <c r="J19" s="8">
        <v>557</v>
      </c>
      <c r="U19" s="3" t="s">
        <v>85</v>
      </c>
      <c r="V19" s="8">
        <v>0</v>
      </c>
    </row>
    <row r="20" spans="1:22" x14ac:dyDescent="0.3">
      <c r="A20" s="3" t="s">
        <v>108</v>
      </c>
      <c r="B20" s="8">
        <v>0</v>
      </c>
      <c r="C20" s="8">
        <v>0</v>
      </c>
      <c r="D20" s="8">
        <v>6</v>
      </c>
      <c r="E20" s="8">
        <v>77</v>
      </c>
      <c r="F20" s="8">
        <v>0</v>
      </c>
      <c r="G20" s="8">
        <v>19.25</v>
      </c>
      <c r="I20" s="3" t="s">
        <v>108</v>
      </c>
      <c r="J20" s="8">
        <v>0</v>
      </c>
      <c r="U20" s="3" t="s">
        <v>108</v>
      </c>
      <c r="V20" s="8">
        <v>6</v>
      </c>
    </row>
    <row r="21" spans="1:22" x14ac:dyDescent="0.3">
      <c r="A21" s="3" t="s">
        <v>76</v>
      </c>
      <c r="B21" s="8">
        <v>0</v>
      </c>
      <c r="C21" s="8">
        <v>0</v>
      </c>
      <c r="D21" s="8">
        <v>9</v>
      </c>
      <c r="E21" s="8">
        <v>67</v>
      </c>
      <c r="F21" s="8">
        <v>0</v>
      </c>
      <c r="G21" s="8">
        <v>16.75</v>
      </c>
      <c r="I21" s="3" t="s">
        <v>76</v>
      </c>
      <c r="J21" s="8">
        <v>0</v>
      </c>
      <c r="U21" s="3" t="s">
        <v>76</v>
      </c>
      <c r="V21" s="8">
        <v>9</v>
      </c>
    </row>
    <row r="22" spans="1:22" x14ac:dyDescent="0.3">
      <c r="A22" s="3" t="s">
        <v>99</v>
      </c>
      <c r="B22" s="8">
        <v>260</v>
      </c>
      <c r="C22" s="8">
        <v>160</v>
      </c>
      <c r="D22" s="8">
        <v>0</v>
      </c>
      <c r="E22" s="8">
        <v>0</v>
      </c>
      <c r="F22" s="8">
        <v>645.84</v>
      </c>
      <c r="G22" s="8">
        <v>0</v>
      </c>
      <c r="I22" s="3" t="s">
        <v>99</v>
      </c>
      <c r="J22" s="8">
        <v>260</v>
      </c>
      <c r="U22" s="3" t="s">
        <v>99</v>
      </c>
      <c r="V22" s="8">
        <v>0</v>
      </c>
    </row>
    <row r="23" spans="1:22" x14ac:dyDescent="0.3">
      <c r="A23" s="3" t="s">
        <v>45</v>
      </c>
      <c r="B23" s="8">
        <v>0</v>
      </c>
      <c r="C23" s="8">
        <v>0</v>
      </c>
      <c r="D23" s="8">
        <v>3</v>
      </c>
      <c r="E23" s="8">
        <v>21</v>
      </c>
      <c r="F23" s="8">
        <v>0</v>
      </c>
      <c r="G23" s="8">
        <v>5.25</v>
      </c>
      <c r="I23" s="3" t="s">
        <v>45</v>
      </c>
      <c r="J23" s="8">
        <v>0</v>
      </c>
      <c r="U23" s="3" t="s">
        <v>45</v>
      </c>
      <c r="V23" s="8">
        <v>3</v>
      </c>
    </row>
    <row r="24" spans="1:22" x14ac:dyDescent="0.3">
      <c r="A24" s="3" t="s">
        <v>80</v>
      </c>
      <c r="B24" s="8">
        <v>165</v>
      </c>
      <c r="C24" s="8">
        <v>95</v>
      </c>
      <c r="D24" s="8">
        <v>0</v>
      </c>
      <c r="E24" s="8">
        <v>0</v>
      </c>
      <c r="F24" s="8">
        <v>521.42999999999995</v>
      </c>
      <c r="G24" s="8">
        <v>0</v>
      </c>
      <c r="I24" s="3" t="s">
        <v>80</v>
      </c>
      <c r="J24" s="8">
        <v>165</v>
      </c>
      <c r="U24" s="3" t="s">
        <v>80</v>
      </c>
      <c r="V24" s="8">
        <v>0</v>
      </c>
    </row>
    <row r="25" spans="1:22" x14ac:dyDescent="0.3">
      <c r="A25" s="3" t="s">
        <v>52</v>
      </c>
      <c r="B25" s="8">
        <v>0</v>
      </c>
      <c r="C25" s="8">
        <v>0</v>
      </c>
      <c r="D25" s="8">
        <v>7</v>
      </c>
      <c r="E25" s="8">
        <v>85</v>
      </c>
      <c r="F25" s="8">
        <v>0</v>
      </c>
      <c r="G25" s="8">
        <v>21.25</v>
      </c>
      <c r="I25" s="3" t="s">
        <v>52</v>
      </c>
      <c r="J25" s="8">
        <v>0</v>
      </c>
      <c r="U25" s="3" t="s">
        <v>52</v>
      </c>
      <c r="V25" s="8">
        <v>7</v>
      </c>
    </row>
    <row r="26" spans="1:22" x14ac:dyDescent="0.3">
      <c r="A26" s="3" t="s">
        <v>60</v>
      </c>
      <c r="B26" s="8">
        <v>305</v>
      </c>
      <c r="C26" s="8">
        <v>170</v>
      </c>
      <c r="D26" s="8">
        <v>0</v>
      </c>
      <c r="E26" s="8">
        <v>0</v>
      </c>
      <c r="F26" s="8">
        <v>708.97</v>
      </c>
      <c r="G26" s="8">
        <v>0</v>
      </c>
      <c r="I26" s="3" t="s">
        <v>60</v>
      </c>
      <c r="J26" s="8">
        <v>305</v>
      </c>
      <c r="U26" s="3" t="s">
        <v>60</v>
      </c>
      <c r="V26" s="8">
        <v>0</v>
      </c>
    </row>
    <row r="27" spans="1:22" x14ac:dyDescent="0.3">
      <c r="A27" s="3" t="s">
        <v>35</v>
      </c>
      <c r="B27" s="8">
        <v>471</v>
      </c>
      <c r="C27" s="8">
        <v>264</v>
      </c>
      <c r="D27" s="8">
        <v>0</v>
      </c>
      <c r="E27" s="8">
        <v>0</v>
      </c>
      <c r="F27" s="8">
        <v>1250.04</v>
      </c>
      <c r="G27" s="8">
        <v>0</v>
      </c>
      <c r="I27" s="3" t="s">
        <v>35</v>
      </c>
      <c r="J27" s="8">
        <v>471</v>
      </c>
      <c r="U27" s="3" t="s">
        <v>35</v>
      </c>
      <c r="V27" s="8">
        <v>0</v>
      </c>
    </row>
    <row r="28" spans="1:22" x14ac:dyDescent="0.3">
      <c r="A28" s="3" t="s">
        <v>67</v>
      </c>
      <c r="B28" s="8">
        <v>146</v>
      </c>
      <c r="C28" s="8">
        <v>80</v>
      </c>
      <c r="D28" s="8">
        <v>14</v>
      </c>
      <c r="E28" s="8">
        <v>147</v>
      </c>
      <c r="F28" s="8">
        <v>1101.67</v>
      </c>
      <c r="G28" s="8">
        <v>36.75</v>
      </c>
      <c r="I28" s="3" t="s">
        <v>67</v>
      </c>
      <c r="J28" s="8">
        <v>146</v>
      </c>
      <c r="U28" s="3" t="s">
        <v>67</v>
      </c>
      <c r="V28" s="8">
        <v>14</v>
      </c>
    </row>
    <row r="29" spans="1:22" x14ac:dyDescent="0.3">
      <c r="A29" s="3" t="s">
        <v>9</v>
      </c>
      <c r="B29" s="8">
        <v>321</v>
      </c>
      <c r="C29" s="8">
        <v>186</v>
      </c>
      <c r="D29" s="8">
        <v>0</v>
      </c>
      <c r="E29" s="8">
        <v>0</v>
      </c>
      <c r="F29" s="8">
        <v>688.89</v>
      </c>
      <c r="G29" s="8">
        <v>0</v>
      </c>
      <c r="I29" s="3" t="s">
        <v>9</v>
      </c>
      <c r="J29" s="8">
        <v>321</v>
      </c>
      <c r="U29" s="3" t="s">
        <v>9</v>
      </c>
      <c r="V29" s="8">
        <v>0</v>
      </c>
    </row>
    <row r="30" spans="1:22" x14ac:dyDescent="0.3">
      <c r="A30" s="3" t="s">
        <v>28</v>
      </c>
      <c r="B30" s="8">
        <v>110</v>
      </c>
      <c r="C30" s="8">
        <v>65</v>
      </c>
      <c r="D30" s="8">
        <v>0</v>
      </c>
      <c r="E30" s="8">
        <v>0</v>
      </c>
      <c r="F30" s="8">
        <v>338.1</v>
      </c>
      <c r="G30" s="8">
        <v>0</v>
      </c>
      <c r="I30" s="3" t="s">
        <v>28</v>
      </c>
      <c r="J30" s="8">
        <v>110</v>
      </c>
      <c r="U30" s="3" t="s">
        <v>28</v>
      </c>
      <c r="V30" s="8">
        <v>0</v>
      </c>
    </row>
    <row r="31" spans="1:22" x14ac:dyDescent="0.3">
      <c r="A31" s="3" t="s">
        <v>120</v>
      </c>
      <c r="B31" s="8">
        <v>515</v>
      </c>
      <c r="C31" s="8">
        <v>311</v>
      </c>
      <c r="D31" s="8">
        <v>0</v>
      </c>
      <c r="E31" s="8">
        <v>0</v>
      </c>
      <c r="F31" s="8">
        <v>1155.68</v>
      </c>
      <c r="G31" s="8">
        <v>0</v>
      </c>
      <c r="I31" s="3" t="s">
        <v>120</v>
      </c>
      <c r="J31" s="8">
        <v>515</v>
      </c>
      <c r="U31" s="3" t="s">
        <v>120</v>
      </c>
      <c r="V31" s="8">
        <v>0</v>
      </c>
    </row>
    <row r="32" spans="1:22" x14ac:dyDescent="0.3">
      <c r="A32" s="3" t="s">
        <v>92</v>
      </c>
      <c r="B32" s="8">
        <v>0</v>
      </c>
      <c r="C32" s="8">
        <v>0</v>
      </c>
      <c r="D32" s="8">
        <v>12</v>
      </c>
      <c r="E32" s="8">
        <v>80</v>
      </c>
      <c r="F32" s="8">
        <v>0</v>
      </c>
      <c r="G32" s="8">
        <v>20.75</v>
      </c>
      <c r="I32" s="3" t="s">
        <v>92</v>
      </c>
      <c r="J32" s="8">
        <v>0</v>
      </c>
      <c r="U32" s="3" t="s">
        <v>92</v>
      </c>
      <c r="V32" s="8">
        <v>12</v>
      </c>
    </row>
    <row r="33" spans="1:22" x14ac:dyDescent="0.3">
      <c r="A33" s="3" t="s">
        <v>69</v>
      </c>
      <c r="B33" s="8">
        <v>0</v>
      </c>
      <c r="C33" s="8">
        <v>0</v>
      </c>
      <c r="D33" s="8">
        <v>15</v>
      </c>
      <c r="E33" s="8">
        <v>113</v>
      </c>
      <c r="F33" s="8">
        <v>0</v>
      </c>
      <c r="G33" s="8">
        <v>29.61</v>
      </c>
      <c r="I33" s="3" t="s">
        <v>69</v>
      </c>
      <c r="J33" s="8">
        <v>0</v>
      </c>
      <c r="U33" s="3" t="s">
        <v>69</v>
      </c>
      <c r="V33" s="8">
        <v>15</v>
      </c>
    </row>
    <row r="34" spans="1:22" x14ac:dyDescent="0.3">
      <c r="A34" s="3" t="s">
        <v>48</v>
      </c>
      <c r="B34" s="8">
        <v>820</v>
      </c>
      <c r="C34" s="8">
        <v>480</v>
      </c>
      <c r="D34" s="8">
        <v>0</v>
      </c>
      <c r="E34" s="8">
        <v>0</v>
      </c>
      <c r="F34" s="8">
        <v>1706.32</v>
      </c>
      <c r="G34" s="8">
        <v>0</v>
      </c>
      <c r="I34" s="3" t="s">
        <v>48</v>
      </c>
      <c r="J34" s="8">
        <v>820</v>
      </c>
      <c r="U34" s="3" t="s">
        <v>48</v>
      </c>
      <c r="V34" s="8">
        <v>0</v>
      </c>
    </row>
    <row r="35" spans="1:22" x14ac:dyDescent="0.3">
      <c r="A35" s="3" t="s">
        <v>96</v>
      </c>
      <c r="B35" s="8">
        <v>596</v>
      </c>
      <c r="C35" s="8">
        <v>354</v>
      </c>
      <c r="D35" s="8">
        <v>0</v>
      </c>
      <c r="E35" s="8">
        <v>0</v>
      </c>
      <c r="F35" s="8">
        <v>1349.96</v>
      </c>
      <c r="G35" s="8">
        <v>0</v>
      </c>
      <c r="I35" s="3" t="s">
        <v>96</v>
      </c>
      <c r="J35" s="8">
        <v>596</v>
      </c>
      <c r="U35" s="3" t="s">
        <v>96</v>
      </c>
      <c r="V35" s="8">
        <v>0</v>
      </c>
    </row>
    <row r="36" spans="1:22" x14ac:dyDescent="0.3">
      <c r="A36" s="3" t="s">
        <v>90</v>
      </c>
      <c r="B36" s="8">
        <v>0</v>
      </c>
      <c r="C36" s="8">
        <v>0</v>
      </c>
      <c r="D36" s="8">
        <v>5</v>
      </c>
      <c r="E36" s="8">
        <v>50</v>
      </c>
      <c r="F36" s="8">
        <v>0</v>
      </c>
      <c r="G36" s="8">
        <v>12.5</v>
      </c>
      <c r="I36" s="3" t="s">
        <v>90</v>
      </c>
      <c r="J36" s="8">
        <v>0</v>
      </c>
      <c r="U36" s="3" t="s">
        <v>90</v>
      </c>
      <c r="V36" s="8">
        <v>5</v>
      </c>
    </row>
    <row r="37" spans="1:22" x14ac:dyDescent="0.3">
      <c r="A37" s="3" t="s">
        <v>363</v>
      </c>
      <c r="B37" s="8">
        <v>6385</v>
      </c>
      <c r="C37" s="8">
        <v>3696</v>
      </c>
      <c r="D37" s="8">
        <v>140</v>
      </c>
      <c r="E37" s="8">
        <v>1484</v>
      </c>
      <c r="F37" s="8">
        <v>16820.099999999999</v>
      </c>
      <c r="G37" s="8">
        <v>373.11</v>
      </c>
      <c r="I37" s="3" t="s">
        <v>363</v>
      </c>
      <c r="J37" s="8">
        <v>6385</v>
      </c>
      <c r="U37" s="3" t="s">
        <v>363</v>
      </c>
      <c r="V37" s="8">
        <v>140</v>
      </c>
    </row>
    <row r="40" spans="1:22" x14ac:dyDescent="0.3">
      <c r="A40" s="2" t="s">
        <v>369</v>
      </c>
      <c r="B40" t="s">
        <v>373</v>
      </c>
      <c r="C40" t="s">
        <v>377</v>
      </c>
      <c r="P40" s="2" t="s">
        <v>369</v>
      </c>
      <c r="Q40" t="s">
        <v>372</v>
      </c>
    </row>
    <row r="41" spans="1:22" x14ac:dyDescent="0.3">
      <c r="A41" s="3" t="s">
        <v>112</v>
      </c>
      <c r="B41" s="8">
        <v>1004.92</v>
      </c>
      <c r="C41" s="5">
        <v>167.48666666666665</v>
      </c>
      <c r="P41" s="3" t="s">
        <v>112</v>
      </c>
      <c r="Q41" s="8">
        <v>0</v>
      </c>
    </row>
    <row r="42" spans="1:22" x14ac:dyDescent="0.3">
      <c r="A42" s="3" t="s">
        <v>64</v>
      </c>
      <c r="B42" s="8">
        <v>1145.28</v>
      </c>
      <c r="C42" s="5">
        <v>190.88</v>
      </c>
      <c r="P42" s="3" t="s">
        <v>64</v>
      </c>
      <c r="Q42" s="8">
        <v>54</v>
      </c>
    </row>
    <row r="43" spans="1:22" x14ac:dyDescent="0.3">
      <c r="A43" s="3" t="s">
        <v>102</v>
      </c>
      <c r="B43" s="8">
        <v>0</v>
      </c>
      <c r="C43" s="5">
        <v>0</v>
      </c>
      <c r="P43" s="3" t="s">
        <v>102</v>
      </c>
      <c r="Q43" s="8">
        <v>33.5</v>
      </c>
    </row>
    <row r="44" spans="1:22" x14ac:dyDescent="0.3">
      <c r="A44" s="3" t="s">
        <v>82</v>
      </c>
      <c r="B44" s="8">
        <v>0</v>
      </c>
      <c r="C44" s="5">
        <v>0</v>
      </c>
      <c r="P44" s="3" t="s">
        <v>82</v>
      </c>
      <c r="Q44" s="8">
        <v>16.75</v>
      </c>
    </row>
    <row r="45" spans="1:22" x14ac:dyDescent="0.3">
      <c r="A45" s="3" t="s">
        <v>116</v>
      </c>
      <c r="B45" s="8">
        <v>0</v>
      </c>
      <c r="C45" s="5">
        <v>0</v>
      </c>
      <c r="P45" s="3" t="s">
        <v>116</v>
      </c>
      <c r="Q45" s="8">
        <v>14.5</v>
      </c>
    </row>
    <row r="46" spans="1:22" x14ac:dyDescent="0.3">
      <c r="A46" s="3" t="s">
        <v>42</v>
      </c>
      <c r="B46" s="8">
        <v>623.80999999999995</v>
      </c>
      <c r="C46" s="5">
        <v>155.95249999999999</v>
      </c>
      <c r="P46" s="3" t="s">
        <v>42</v>
      </c>
      <c r="Q46" s="8">
        <v>0</v>
      </c>
    </row>
    <row r="47" spans="1:22" x14ac:dyDescent="0.3">
      <c r="A47" s="3" t="s">
        <v>72</v>
      </c>
      <c r="B47" s="8">
        <v>180</v>
      </c>
      <c r="C47" s="5">
        <v>180</v>
      </c>
      <c r="P47" s="3" t="s">
        <v>72</v>
      </c>
      <c r="Q47" s="8">
        <v>0</v>
      </c>
    </row>
    <row r="48" spans="1:22" x14ac:dyDescent="0.3">
      <c r="A48" s="3" t="s">
        <v>38</v>
      </c>
      <c r="B48" s="8">
        <v>0</v>
      </c>
      <c r="C48" s="5">
        <v>0</v>
      </c>
      <c r="P48" s="3" t="s">
        <v>38</v>
      </c>
      <c r="Q48" s="8">
        <v>38.25</v>
      </c>
    </row>
    <row r="49" spans="1:17" x14ac:dyDescent="0.3">
      <c r="A49" s="3" t="s">
        <v>57</v>
      </c>
      <c r="B49" s="8">
        <v>200</v>
      </c>
      <c r="C49" s="5">
        <v>200</v>
      </c>
      <c r="P49" s="3" t="s">
        <v>57</v>
      </c>
      <c r="Q49" s="8">
        <v>0</v>
      </c>
    </row>
    <row r="50" spans="1:17" x14ac:dyDescent="0.3">
      <c r="A50" s="3" t="s">
        <v>54</v>
      </c>
      <c r="B50" s="8">
        <v>370</v>
      </c>
      <c r="C50" s="5">
        <v>185</v>
      </c>
      <c r="P50" s="3" t="s">
        <v>54</v>
      </c>
      <c r="Q50" s="8">
        <v>0</v>
      </c>
    </row>
    <row r="51" spans="1:17" x14ac:dyDescent="0.3">
      <c r="A51" s="3" t="s">
        <v>32</v>
      </c>
      <c r="B51" s="8">
        <v>476.67</v>
      </c>
      <c r="C51" s="5">
        <v>158.89000000000001</v>
      </c>
      <c r="P51" s="3" t="s">
        <v>32</v>
      </c>
      <c r="Q51" s="8">
        <v>22.5</v>
      </c>
    </row>
    <row r="52" spans="1:17" x14ac:dyDescent="0.3">
      <c r="A52" s="3" t="s">
        <v>118</v>
      </c>
      <c r="B52" s="8">
        <v>1334.32</v>
      </c>
      <c r="C52" s="5">
        <v>190.61714285714285</v>
      </c>
      <c r="P52" s="3" t="s">
        <v>118</v>
      </c>
      <c r="Q52" s="8">
        <v>0</v>
      </c>
    </row>
    <row r="53" spans="1:17" x14ac:dyDescent="0.3">
      <c r="A53" s="3" t="s">
        <v>22</v>
      </c>
      <c r="B53" s="8">
        <v>637.62</v>
      </c>
      <c r="C53" s="5">
        <v>159.405</v>
      </c>
      <c r="P53" s="3" t="s">
        <v>22</v>
      </c>
      <c r="Q53" s="8">
        <v>0</v>
      </c>
    </row>
    <row r="54" spans="1:17" x14ac:dyDescent="0.3">
      <c r="A54" s="3" t="s">
        <v>17</v>
      </c>
      <c r="B54" s="8">
        <v>0</v>
      </c>
      <c r="C54" s="5">
        <v>0</v>
      </c>
      <c r="P54" s="3" t="s">
        <v>17</v>
      </c>
      <c r="Q54" s="8">
        <v>31.5</v>
      </c>
    </row>
    <row r="55" spans="1:17" x14ac:dyDescent="0.3">
      <c r="A55" s="3" t="s">
        <v>106</v>
      </c>
      <c r="B55" s="8">
        <v>166.67</v>
      </c>
      <c r="C55" s="5">
        <v>166.67</v>
      </c>
      <c r="P55" s="3" t="s">
        <v>106</v>
      </c>
      <c r="Q55" s="8">
        <v>0</v>
      </c>
    </row>
    <row r="56" spans="1:17" x14ac:dyDescent="0.3">
      <c r="A56" s="3" t="s">
        <v>85</v>
      </c>
      <c r="B56" s="8">
        <v>1213.9100000000001</v>
      </c>
      <c r="C56" s="5">
        <v>173.4157142857143</v>
      </c>
      <c r="P56" s="3" t="s">
        <v>85</v>
      </c>
      <c r="Q56" s="8">
        <v>0</v>
      </c>
    </row>
    <row r="57" spans="1:17" x14ac:dyDescent="0.3">
      <c r="A57" s="3" t="s">
        <v>108</v>
      </c>
      <c r="B57" s="8">
        <v>0</v>
      </c>
      <c r="C57" s="5">
        <v>0</v>
      </c>
      <c r="P57" s="3" t="s">
        <v>108</v>
      </c>
      <c r="Q57" s="8">
        <v>19.25</v>
      </c>
    </row>
    <row r="58" spans="1:17" x14ac:dyDescent="0.3">
      <c r="A58" s="3" t="s">
        <v>76</v>
      </c>
      <c r="B58" s="8">
        <v>0</v>
      </c>
      <c r="C58" s="5">
        <v>0</v>
      </c>
      <c r="P58" s="3" t="s">
        <v>76</v>
      </c>
      <c r="Q58" s="8">
        <v>16.75</v>
      </c>
    </row>
    <row r="59" spans="1:17" x14ac:dyDescent="0.3">
      <c r="A59" s="3" t="s">
        <v>99</v>
      </c>
      <c r="B59" s="8">
        <v>645.84</v>
      </c>
      <c r="C59" s="5">
        <v>161.46</v>
      </c>
      <c r="P59" s="3" t="s">
        <v>99</v>
      </c>
      <c r="Q59" s="8">
        <v>0</v>
      </c>
    </row>
    <row r="60" spans="1:17" x14ac:dyDescent="0.3">
      <c r="A60" s="3" t="s">
        <v>45</v>
      </c>
      <c r="B60" s="8">
        <v>0</v>
      </c>
      <c r="C60" s="5">
        <v>0</v>
      </c>
      <c r="P60" s="3" t="s">
        <v>45</v>
      </c>
      <c r="Q60" s="8">
        <v>5.25</v>
      </c>
    </row>
    <row r="61" spans="1:17" x14ac:dyDescent="0.3">
      <c r="A61" s="3" t="s">
        <v>80</v>
      </c>
      <c r="B61" s="8">
        <v>521.42999999999995</v>
      </c>
      <c r="C61" s="5">
        <v>173.80999999999997</v>
      </c>
      <c r="P61" s="3" t="s">
        <v>80</v>
      </c>
      <c r="Q61" s="8">
        <v>0</v>
      </c>
    </row>
    <row r="62" spans="1:17" x14ac:dyDescent="0.3">
      <c r="A62" s="3" t="s">
        <v>52</v>
      </c>
      <c r="B62" s="8">
        <v>0</v>
      </c>
      <c r="C62" s="5">
        <v>0</v>
      </c>
      <c r="P62" s="3" t="s">
        <v>52</v>
      </c>
      <c r="Q62" s="8">
        <v>21.25</v>
      </c>
    </row>
    <row r="63" spans="1:17" x14ac:dyDescent="0.3">
      <c r="A63" s="3" t="s">
        <v>60</v>
      </c>
      <c r="B63" s="8">
        <v>708.97</v>
      </c>
      <c r="C63" s="5">
        <v>177.24250000000001</v>
      </c>
      <c r="P63" s="3" t="s">
        <v>60</v>
      </c>
      <c r="Q63" s="8">
        <v>0</v>
      </c>
    </row>
    <row r="64" spans="1:17" x14ac:dyDescent="0.3">
      <c r="A64" s="3" t="s">
        <v>35</v>
      </c>
      <c r="B64" s="8">
        <v>1250.04</v>
      </c>
      <c r="C64" s="5">
        <v>178.57714285714286</v>
      </c>
      <c r="E64" s="2" t="s">
        <v>369</v>
      </c>
      <c r="F64" t="s">
        <v>378</v>
      </c>
      <c r="P64" s="3" t="s">
        <v>35</v>
      </c>
      <c r="Q64" s="8">
        <v>0</v>
      </c>
    </row>
    <row r="65" spans="1:17" x14ac:dyDescent="0.3">
      <c r="A65" s="3" t="s">
        <v>67</v>
      </c>
      <c r="B65" s="8">
        <v>1101.67</v>
      </c>
      <c r="C65" s="5">
        <v>183.61166666666668</v>
      </c>
      <c r="E65" s="3" t="s">
        <v>148</v>
      </c>
      <c r="F65" s="8">
        <v>1</v>
      </c>
      <c r="P65" s="3" t="s">
        <v>67</v>
      </c>
      <c r="Q65" s="8">
        <v>36.75</v>
      </c>
    </row>
    <row r="66" spans="1:17" x14ac:dyDescent="0.3">
      <c r="A66" s="3" t="s">
        <v>9</v>
      </c>
      <c r="B66" s="8">
        <v>688.89</v>
      </c>
      <c r="C66" s="5">
        <v>172.2225</v>
      </c>
      <c r="E66" s="3" t="s">
        <v>363</v>
      </c>
      <c r="F66" s="8">
        <v>1</v>
      </c>
      <c r="P66" s="3" t="s">
        <v>9</v>
      </c>
      <c r="Q66" s="8">
        <v>0</v>
      </c>
    </row>
    <row r="67" spans="1:17" x14ac:dyDescent="0.3">
      <c r="A67" s="3" t="s">
        <v>28</v>
      </c>
      <c r="B67" s="8">
        <v>338.1</v>
      </c>
      <c r="C67" s="5">
        <v>169.05</v>
      </c>
      <c r="P67" s="3" t="s">
        <v>28</v>
      </c>
      <c r="Q67" s="8">
        <v>0</v>
      </c>
    </row>
    <row r="68" spans="1:17" x14ac:dyDescent="0.3">
      <c r="A68" s="3" t="s">
        <v>120</v>
      </c>
      <c r="B68" s="8">
        <v>1155.68</v>
      </c>
      <c r="C68" s="5">
        <v>165.09714285714287</v>
      </c>
      <c r="P68" s="3" t="s">
        <v>120</v>
      </c>
      <c r="Q68" s="8">
        <v>0</v>
      </c>
    </row>
    <row r="69" spans="1:17" x14ac:dyDescent="0.3">
      <c r="A69" s="3" t="s">
        <v>92</v>
      </c>
      <c r="B69" s="8">
        <v>0</v>
      </c>
      <c r="C69" s="5">
        <v>0</v>
      </c>
      <c r="P69" s="3" t="s">
        <v>92</v>
      </c>
      <c r="Q69" s="8">
        <v>20.75</v>
      </c>
    </row>
    <row r="70" spans="1:17" x14ac:dyDescent="0.3">
      <c r="A70" s="3" t="s">
        <v>69</v>
      </c>
      <c r="B70" s="8">
        <v>0</v>
      </c>
      <c r="C70" s="5">
        <v>0</v>
      </c>
      <c r="P70" s="3" t="s">
        <v>69</v>
      </c>
      <c r="Q70" s="8">
        <v>29.61</v>
      </c>
    </row>
    <row r="71" spans="1:17" x14ac:dyDescent="0.3">
      <c r="A71" s="3" t="s">
        <v>48</v>
      </c>
      <c r="B71" s="8">
        <v>1706.32</v>
      </c>
      <c r="C71" s="5">
        <v>170.63200000000001</v>
      </c>
      <c r="P71" s="3" t="s">
        <v>48</v>
      </c>
      <c r="Q71" s="8">
        <v>0</v>
      </c>
    </row>
    <row r="72" spans="1:17" x14ac:dyDescent="0.3">
      <c r="A72" s="3" t="s">
        <v>96</v>
      </c>
      <c r="B72" s="8">
        <v>1349.96</v>
      </c>
      <c r="C72" s="5">
        <v>168.745</v>
      </c>
      <c r="P72" s="3" t="s">
        <v>96</v>
      </c>
      <c r="Q72" s="8">
        <v>0</v>
      </c>
    </row>
    <row r="73" spans="1:17" x14ac:dyDescent="0.3">
      <c r="A73" s="3" t="s">
        <v>90</v>
      </c>
      <c r="B73" s="8">
        <v>0</v>
      </c>
      <c r="C73" s="5">
        <v>0</v>
      </c>
      <c r="P73" s="3" t="s">
        <v>90</v>
      </c>
      <c r="Q73" s="8">
        <v>12.5</v>
      </c>
    </row>
    <row r="74" spans="1:17" x14ac:dyDescent="0.3">
      <c r="A74" s="3" t="s">
        <v>363</v>
      </c>
      <c r="B74" s="8">
        <v>16820.099999999999</v>
      </c>
      <c r="C74" s="5">
        <v>120.14357142857142</v>
      </c>
      <c r="P74" s="3" t="s">
        <v>363</v>
      </c>
      <c r="Q74" s="8">
        <v>373.11</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46E02-C5CB-4785-A586-0682C7B76338}">
  <dimension ref="A1:N61"/>
  <sheetViews>
    <sheetView topLeftCell="A16" workbookViewId="0">
      <selection activeCell="D18" sqref="D18"/>
    </sheetView>
  </sheetViews>
  <sheetFormatPr defaultRowHeight="14.4" x14ac:dyDescent="0.3"/>
  <cols>
    <col min="1" max="1" width="11.44140625" bestFit="1" customWidth="1"/>
    <col min="2" max="2" width="7.109375" bestFit="1" customWidth="1"/>
    <col min="3" max="3" width="11.44140625" bestFit="1" customWidth="1"/>
    <col min="4" max="5" width="11.6640625" bestFit="1" customWidth="1"/>
    <col min="6" max="6" width="14" bestFit="1" customWidth="1"/>
    <col min="7" max="7" width="15.88671875" bestFit="1" customWidth="1"/>
    <col min="8" max="8" width="16.44140625" bestFit="1" customWidth="1"/>
    <col min="9" max="10" width="14" bestFit="1" customWidth="1"/>
    <col min="11" max="12" width="16.5546875" bestFit="1" customWidth="1"/>
    <col min="13" max="14" width="14.6640625" bestFit="1" customWidth="1"/>
  </cols>
  <sheetData>
    <row r="1" spans="1:14" x14ac:dyDescent="0.3">
      <c r="A1" t="s">
        <v>201</v>
      </c>
      <c r="B1" t="s">
        <v>202</v>
      </c>
      <c r="C1" t="s">
        <v>175</v>
      </c>
      <c r="D1" t="s">
        <v>203</v>
      </c>
      <c r="E1" t="s">
        <v>204</v>
      </c>
      <c r="F1" t="s">
        <v>205</v>
      </c>
      <c r="G1" t="s">
        <v>206</v>
      </c>
      <c r="H1" t="s">
        <v>207</v>
      </c>
      <c r="I1" t="s">
        <v>208</v>
      </c>
      <c r="J1" t="s">
        <v>209</v>
      </c>
      <c r="K1" t="s">
        <v>210</v>
      </c>
      <c r="L1" t="s">
        <v>211</v>
      </c>
      <c r="M1" t="s">
        <v>212</v>
      </c>
      <c r="N1" t="s">
        <v>213</v>
      </c>
    </row>
    <row r="2" spans="1:14" x14ac:dyDescent="0.3">
      <c r="A2" t="s">
        <v>214</v>
      </c>
      <c r="B2" s="1">
        <v>45738</v>
      </c>
      <c r="C2" t="s">
        <v>180</v>
      </c>
      <c r="D2" t="s">
        <v>36</v>
      </c>
      <c r="E2" t="s">
        <v>49</v>
      </c>
      <c r="F2" t="s">
        <v>36</v>
      </c>
      <c r="G2" t="s">
        <v>36</v>
      </c>
      <c r="H2" t="s">
        <v>34</v>
      </c>
      <c r="I2">
        <v>192</v>
      </c>
      <c r="J2">
        <v>174</v>
      </c>
      <c r="K2">
        <v>4</v>
      </c>
      <c r="L2">
        <v>8</v>
      </c>
      <c r="M2">
        <v>20</v>
      </c>
      <c r="N2">
        <v>20</v>
      </c>
    </row>
    <row r="3" spans="1:14" x14ac:dyDescent="0.3">
      <c r="A3" t="s">
        <v>215</v>
      </c>
      <c r="B3" s="1">
        <v>45739</v>
      </c>
      <c r="C3" t="s">
        <v>191</v>
      </c>
      <c r="D3" t="s">
        <v>113</v>
      </c>
      <c r="E3" t="s">
        <v>73</v>
      </c>
      <c r="F3" t="s">
        <v>113</v>
      </c>
      <c r="G3" t="s">
        <v>113</v>
      </c>
      <c r="H3" t="s">
        <v>119</v>
      </c>
      <c r="I3">
        <v>184</v>
      </c>
      <c r="J3">
        <v>183</v>
      </c>
      <c r="K3">
        <v>7</v>
      </c>
      <c r="L3">
        <v>9</v>
      </c>
      <c r="M3">
        <v>20</v>
      </c>
      <c r="N3">
        <v>20</v>
      </c>
    </row>
    <row r="4" spans="1:14" x14ac:dyDescent="0.3">
      <c r="A4" t="s">
        <v>216</v>
      </c>
      <c r="B4" s="1">
        <v>45739</v>
      </c>
      <c r="C4" t="s">
        <v>184</v>
      </c>
      <c r="D4" t="s">
        <v>61</v>
      </c>
      <c r="E4" t="s">
        <v>100</v>
      </c>
      <c r="F4" t="s">
        <v>100</v>
      </c>
      <c r="G4" t="s">
        <v>61</v>
      </c>
      <c r="H4" t="s">
        <v>63</v>
      </c>
      <c r="I4">
        <v>208</v>
      </c>
      <c r="J4">
        <v>198</v>
      </c>
      <c r="K4">
        <v>6</v>
      </c>
      <c r="L4">
        <v>7</v>
      </c>
      <c r="M4">
        <v>20</v>
      </c>
      <c r="N4">
        <v>20</v>
      </c>
    </row>
    <row r="5" spans="1:14" x14ac:dyDescent="0.3">
      <c r="A5" t="s">
        <v>217</v>
      </c>
      <c r="B5" s="1">
        <v>45740</v>
      </c>
      <c r="C5" t="s">
        <v>188</v>
      </c>
      <c r="D5" t="s">
        <v>86</v>
      </c>
      <c r="E5" t="s">
        <v>10</v>
      </c>
      <c r="F5" t="s">
        <v>10</v>
      </c>
      <c r="G5" t="s">
        <v>86</v>
      </c>
      <c r="H5" t="s">
        <v>84</v>
      </c>
      <c r="I5">
        <v>193</v>
      </c>
      <c r="J5">
        <v>165</v>
      </c>
      <c r="K5">
        <v>5</v>
      </c>
      <c r="L5">
        <v>10</v>
      </c>
      <c r="M5">
        <v>20</v>
      </c>
      <c r="N5">
        <v>17.2</v>
      </c>
    </row>
    <row r="6" spans="1:14" x14ac:dyDescent="0.3">
      <c r="A6" t="s">
        <v>218</v>
      </c>
      <c r="B6" s="1">
        <v>45741</v>
      </c>
      <c r="C6" t="s">
        <v>182</v>
      </c>
      <c r="D6" t="s">
        <v>49</v>
      </c>
      <c r="E6" t="s">
        <v>86</v>
      </c>
      <c r="F6" t="s">
        <v>49</v>
      </c>
      <c r="G6" t="s">
        <v>86</v>
      </c>
      <c r="H6" t="s">
        <v>95</v>
      </c>
      <c r="I6">
        <v>181</v>
      </c>
      <c r="J6">
        <v>185</v>
      </c>
      <c r="K6">
        <v>5</v>
      </c>
      <c r="L6">
        <v>4</v>
      </c>
      <c r="M6">
        <v>20</v>
      </c>
      <c r="N6">
        <v>19.3</v>
      </c>
    </row>
    <row r="7" spans="1:14" x14ac:dyDescent="0.3">
      <c r="A7" t="s">
        <v>219</v>
      </c>
      <c r="B7" s="1">
        <v>45742</v>
      </c>
      <c r="C7" t="s">
        <v>186</v>
      </c>
      <c r="D7" t="s">
        <v>73</v>
      </c>
      <c r="E7" t="s">
        <v>61</v>
      </c>
      <c r="F7" t="s">
        <v>73</v>
      </c>
      <c r="G7" t="s">
        <v>61</v>
      </c>
      <c r="H7" t="s">
        <v>66</v>
      </c>
      <c r="I7">
        <v>164</v>
      </c>
      <c r="J7">
        <v>165</v>
      </c>
      <c r="K7">
        <v>8</v>
      </c>
      <c r="L7">
        <v>3</v>
      </c>
      <c r="M7">
        <v>20</v>
      </c>
      <c r="N7">
        <v>18.399999999999999</v>
      </c>
    </row>
    <row r="8" spans="1:14" x14ac:dyDescent="0.3">
      <c r="A8" t="s">
        <v>220</v>
      </c>
      <c r="B8" s="1">
        <v>45743</v>
      </c>
      <c r="C8" t="s">
        <v>180</v>
      </c>
      <c r="D8" t="s">
        <v>36</v>
      </c>
      <c r="E8" t="s">
        <v>100</v>
      </c>
      <c r="F8" t="s">
        <v>100</v>
      </c>
      <c r="G8" t="s">
        <v>36</v>
      </c>
      <c r="H8" t="s">
        <v>37</v>
      </c>
      <c r="I8">
        <v>178</v>
      </c>
      <c r="J8">
        <v>169</v>
      </c>
      <c r="K8">
        <v>6</v>
      </c>
      <c r="L8">
        <v>9</v>
      </c>
      <c r="M8">
        <v>20</v>
      </c>
      <c r="N8">
        <v>20</v>
      </c>
    </row>
    <row r="9" spans="1:14" x14ac:dyDescent="0.3">
      <c r="A9" t="s">
        <v>221</v>
      </c>
      <c r="B9" s="1">
        <v>45744</v>
      </c>
      <c r="C9" t="s">
        <v>178</v>
      </c>
      <c r="D9" t="s">
        <v>10</v>
      </c>
      <c r="E9" t="s">
        <v>113</v>
      </c>
      <c r="F9" t="s">
        <v>10</v>
      </c>
      <c r="G9" t="s">
        <v>113</v>
      </c>
      <c r="H9" t="s">
        <v>117</v>
      </c>
      <c r="I9">
        <v>154</v>
      </c>
      <c r="J9">
        <v>155</v>
      </c>
      <c r="K9">
        <v>10</v>
      </c>
      <c r="L9">
        <v>3</v>
      </c>
      <c r="M9">
        <v>19.5</v>
      </c>
      <c r="N9">
        <v>17</v>
      </c>
    </row>
    <row r="10" spans="1:14" x14ac:dyDescent="0.3">
      <c r="A10" t="s">
        <v>222</v>
      </c>
      <c r="B10" s="1">
        <v>45745</v>
      </c>
      <c r="C10" t="s">
        <v>184</v>
      </c>
      <c r="D10" t="s">
        <v>61</v>
      </c>
      <c r="E10" t="s">
        <v>49</v>
      </c>
      <c r="F10" t="s">
        <v>49</v>
      </c>
      <c r="G10" t="s">
        <v>61</v>
      </c>
      <c r="H10" t="s">
        <v>68</v>
      </c>
      <c r="I10">
        <v>171</v>
      </c>
      <c r="J10">
        <v>156</v>
      </c>
      <c r="K10">
        <v>5</v>
      </c>
      <c r="L10">
        <v>9</v>
      </c>
      <c r="M10">
        <v>20</v>
      </c>
      <c r="N10">
        <v>18.3</v>
      </c>
    </row>
    <row r="11" spans="1:14" x14ac:dyDescent="0.3">
      <c r="A11" t="s">
        <v>223</v>
      </c>
      <c r="B11" s="1">
        <v>45746</v>
      </c>
      <c r="C11" t="s">
        <v>188</v>
      </c>
      <c r="D11" t="s">
        <v>86</v>
      </c>
      <c r="E11" t="s">
        <v>73</v>
      </c>
      <c r="F11" t="s">
        <v>73</v>
      </c>
      <c r="G11" t="s">
        <v>73</v>
      </c>
      <c r="H11" t="s">
        <v>75</v>
      </c>
      <c r="I11">
        <v>149</v>
      </c>
      <c r="J11">
        <v>150</v>
      </c>
      <c r="K11">
        <v>9</v>
      </c>
      <c r="L11">
        <v>4</v>
      </c>
      <c r="M11">
        <v>20</v>
      </c>
      <c r="N11">
        <v>18.100000000000001</v>
      </c>
    </row>
    <row r="12" spans="1:14" x14ac:dyDescent="0.3">
      <c r="A12" t="s">
        <v>224</v>
      </c>
      <c r="B12" s="1">
        <v>45747</v>
      </c>
      <c r="C12" t="s">
        <v>190</v>
      </c>
      <c r="D12" t="s">
        <v>100</v>
      </c>
      <c r="E12" t="s">
        <v>10</v>
      </c>
      <c r="F12" t="s">
        <v>10</v>
      </c>
      <c r="G12" t="s">
        <v>100</v>
      </c>
      <c r="H12" t="s">
        <v>98</v>
      </c>
      <c r="I12">
        <v>177</v>
      </c>
      <c r="J12">
        <v>152</v>
      </c>
      <c r="K12">
        <v>7</v>
      </c>
      <c r="L12">
        <v>8</v>
      </c>
      <c r="M12">
        <v>20</v>
      </c>
      <c r="N12">
        <v>18.399999999999999</v>
      </c>
    </row>
    <row r="13" spans="1:14" x14ac:dyDescent="0.3">
      <c r="A13" t="s">
        <v>225</v>
      </c>
      <c r="B13" s="1">
        <v>45748</v>
      </c>
      <c r="C13" t="s">
        <v>191</v>
      </c>
      <c r="D13" t="s">
        <v>113</v>
      </c>
      <c r="E13" t="s">
        <v>36</v>
      </c>
      <c r="F13" t="s">
        <v>36</v>
      </c>
      <c r="G13" t="s">
        <v>36</v>
      </c>
      <c r="H13" t="s">
        <v>41</v>
      </c>
      <c r="I13">
        <v>161</v>
      </c>
      <c r="J13">
        <v>162</v>
      </c>
      <c r="K13">
        <v>8</v>
      </c>
      <c r="L13">
        <v>6</v>
      </c>
      <c r="M13">
        <v>20</v>
      </c>
      <c r="N13">
        <v>19.2</v>
      </c>
    </row>
    <row r="14" spans="1:14" x14ac:dyDescent="0.3">
      <c r="A14" t="s">
        <v>226</v>
      </c>
      <c r="B14" s="1">
        <v>45749</v>
      </c>
      <c r="C14" t="s">
        <v>182</v>
      </c>
      <c r="D14" t="s">
        <v>49</v>
      </c>
      <c r="E14" t="s">
        <v>73</v>
      </c>
      <c r="F14" t="s">
        <v>73</v>
      </c>
      <c r="G14" t="s">
        <v>49</v>
      </c>
      <c r="H14" t="s">
        <v>47</v>
      </c>
      <c r="I14">
        <v>198</v>
      </c>
      <c r="J14">
        <v>187</v>
      </c>
      <c r="K14">
        <v>3</v>
      </c>
      <c r="L14">
        <v>8</v>
      </c>
      <c r="M14">
        <v>20</v>
      </c>
      <c r="N14">
        <v>20</v>
      </c>
    </row>
    <row r="15" spans="1:14" x14ac:dyDescent="0.3">
      <c r="A15" t="s">
        <v>227</v>
      </c>
      <c r="B15" s="1">
        <v>45750</v>
      </c>
      <c r="C15" t="s">
        <v>178</v>
      </c>
      <c r="D15" t="s">
        <v>10</v>
      </c>
      <c r="E15" t="s">
        <v>86</v>
      </c>
      <c r="F15" t="s">
        <v>86</v>
      </c>
      <c r="G15" t="s">
        <v>10</v>
      </c>
      <c r="H15" t="s">
        <v>8</v>
      </c>
      <c r="I15">
        <v>188</v>
      </c>
      <c r="J15">
        <v>186</v>
      </c>
      <c r="K15">
        <v>6</v>
      </c>
      <c r="L15">
        <v>8</v>
      </c>
      <c r="M15">
        <v>20</v>
      </c>
      <c r="N15">
        <v>20</v>
      </c>
    </row>
    <row r="16" spans="1:14" x14ac:dyDescent="0.3">
      <c r="A16" t="s">
        <v>228</v>
      </c>
      <c r="B16" s="1">
        <v>45751</v>
      </c>
      <c r="C16" t="s">
        <v>184</v>
      </c>
      <c r="D16" t="s">
        <v>61</v>
      </c>
      <c r="E16" t="s">
        <v>113</v>
      </c>
      <c r="F16" t="s">
        <v>113</v>
      </c>
      <c r="G16" t="s">
        <v>113</v>
      </c>
      <c r="H16" t="s">
        <v>111</v>
      </c>
      <c r="I16">
        <v>169</v>
      </c>
      <c r="J16">
        <v>170</v>
      </c>
      <c r="K16">
        <v>8</v>
      </c>
      <c r="L16">
        <v>4</v>
      </c>
      <c r="M16">
        <v>20</v>
      </c>
      <c r="N16">
        <v>19.100000000000001</v>
      </c>
    </row>
    <row r="17" spans="1:14" x14ac:dyDescent="0.3">
      <c r="A17" t="s">
        <v>229</v>
      </c>
      <c r="B17" s="1">
        <v>45752</v>
      </c>
      <c r="C17" t="s">
        <v>186</v>
      </c>
      <c r="D17" t="s">
        <v>73</v>
      </c>
      <c r="E17" t="s">
        <v>100</v>
      </c>
      <c r="F17" t="s">
        <v>73</v>
      </c>
      <c r="G17" t="s">
        <v>100</v>
      </c>
      <c r="H17" t="s">
        <v>101</v>
      </c>
      <c r="I17">
        <v>155</v>
      </c>
      <c r="J17">
        <v>156</v>
      </c>
      <c r="K17">
        <v>10</v>
      </c>
      <c r="L17">
        <v>6</v>
      </c>
      <c r="M17">
        <v>20</v>
      </c>
      <c r="N17">
        <v>19.399999999999999</v>
      </c>
    </row>
    <row r="18" spans="1:14" x14ac:dyDescent="0.3">
      <c r="A18" t="s">
        <v>230</v>
      </c>
      <c r="B18" s="1">
        <v>45753</v>
      </c>
      <c r="C18" t="s">
        <v>180</v>
      </c>
      <c r="D18" t="s">
        <v>36</v>
      </c>
      <c r="E18" t="s">
        <v>10</v>
      </c>
      <c r="F18" t="s">
        <v>10</v>
      </c>
      <c r="G18" t="s">
        <v>36</v>
      </c>
      <c r="H18" t="s">
        <v>34</v>
      </c>
      <c r="I18">
        <v>180</v>
      </c>
      <c r="J18">
        <v>178</v>
      </c>
      <c r="K18">
        <v>5</v>
      </c>
      <c r="L18">
        <v>8</v>
      </c>
      <c r="M18">
        <v>20</v>
      </c>
      <c r="N18">
        <v>20</v>
      </c>
    </row>
    <row r="19" spans="1:14" x14ac:dyDescent="0.3">
      <c r="A19" t="s">
        <v>231</v>
      </c>
      <c r="B19" s="1">
        <v>45754</v>
      </c>
      <c r="C19" t="s">
        <v>182</v>
      </c>
      <c r="D19" t="s">
        <v>49</v>
      </c>
      <c r="E19" t="s">
        <v>113</v>
      </c>
      <c r="F19" t="s">
        <v>49</v>
      </c>
      <c r="G19" t="s">
        <v>49</v>
      </c>
      <c r="H19" t="s">
        <v>53</v>
      </c>
      <c r="I19">
        <v>194</v>
      </c>
      <c r="J19">
        <v>188</v>
      </c>
      <c r="K19">
        <v>6</v>
      </c>
      <c r="L19">
        <v>7</v>
      </c>
      <c r="M19">
        <v>20</v>
      </c>
      <c r="N19">
        <v>20</v>
      </c>
    </row>
    <row r="20" spans="1:14" x14ac:dyDescent="0.3">
      <c r="A20" t="s">
        <v>232</v>
      </c>
      <c r="B20" s="1">
        <v>45755</v>
      </c>
      <c r="C20" t="s">
        <v>188</v>
      </c>
      <c r="D20" t="s">
        <v>86</v>
      </c>
      <c r="E20" t="s">
        <v>61</v>
      </c>
      <c r="F20" t="s">
        <v>61</v>
      </c>
      <c r="G20" t="s">
        <v>86</v>
      </c>
      <c r="H20" t="s">
        <v>89</v>
      </c>
      <c r="I20">
        <v>172</v>
      </c>
      <c r="J20">
        <v>171</v>
      </c>
      <c r="K20">
        <v>9</v>
      </c>
      <c r="L20">
        <v>10</v>
      </c>
      <c r="M20">
        <v>20</v>
      </c>
      <c r="N20">
        <v>20</v>
      </c>
    </row>
    <row r="21" spans="1:14" x14ac:dyDescent="0.3">
      <c r="A21" t="s">
        <v>233</v>
      </c>
      <c r="B21" s="1">
        <v>45756</v>
      </c>
      <c r="C21" t="s">
        <v>190</v>
      </c>
      <c r="D21" t="s">
        <v>100</v>
      </c>
      <c r="E21" t="s">
        <v>73</v>
      </c>
      <c r="F21" t="s">
        <v>73</v>
      </c>
      <c r="G21" t="s">
        <v>73</v>
      </c>
      <c r="H21" t="s">
        <v>79</v>
      </c>
      <c r="I21">
        <v>166</v>
      </c>
      <c r="J21">
        <v>167</v>
      </c>
      <c r="K21">
        <v>7</v>
      </c>
      <c r="L21">
        <v>5</v>
      </c>
      <c r="M21">
        <v>20</v>
      </c>
      <c r="N21">
        <v>19.100000000000001</v>
      </c>
    </row>
    <row r="22" spans="1:14" x14ac:dyDescent="0.3">
      <c r="A22" t="s">
        <v>234</v>
      </c>
      <c r="B22" s="1">
        <v>45757</v>
      </c>
      <c r="C22" t="s">
        <v>178</v>
      </c>
      <c r="D22" t="s">
        <v>10</v>
      </c>
      <c r="E22" t="s">
        <v>61</v>
      </c>
      <c r="F22" t="s">
        <v>61</v>
      </c>
      <c r="G22" t="s">
        <v>10</v>
      </c>
      <c r="H22" t="s">
        <v>16</v>
      </c>
      <c r="I22">
        <v>175</v>
      </c>
      <c r="J22">
        <v>170</v>
      </c>
      <c r="K22">
        <v>7</v>
      </c>
      <c r="L22">
        <v>9</v>
      </c>
      <c r="M22">
        <v>20</v>
      </c>
      <c r="N22">
        <v>20</v>
      </c>
    </row>
    <row r="23" spans="1:14" x14ac:dyDescent="0.3">
      <c r="A23" t="s">
        <v>235</v>
      </c>
      <c r="B23" s="1">
        <v>45758</v>
      </c>
      <c r="C23" t="s">
        <v>191</v>
      </c>
      <c r="D23" t="s">
        <v>113</v>
      </c>
      <c r="E23" t="s">
        <v>86</v>
      </c>
      <c r="F23" t="s">
        <v>86</v>
      </c>
      <c r="G23" t="s">
        <v>113</v>
      </c>
      <c r="H23" t="s">
        <v>115</v>
      </c>
      <c r="I23">
        <v>159</v>
      </c>
      <c r="J23">
        <v>158</v>
      </c>
      <c r="K23">
        <v>6</v>
      </c>
      <c r="L23">
        <v>7</v>
      </c>
      <c r="M23">
        <v>20</v>
      </c>
      <c r="N23">
        <v>20</v>
      </c>
    </row>
    <row r="24" spans="1:14" x14ac:dyDescent="0.3">
      <c r="A24" t="s">
        <v>236</v>
      </c>
      <c r="B24" s="1">
        <v>45759</v>
      </c>
      <c r="C24" t="s">
        <v>180</v>
      </c>
      <c r="D24" t="s">
        <v>36</v>
      </c>
      <c r="E24" t="s">
        <v>49</v>
      </c>
      <c r="F24" t="s">
        <v>49</v>
      </c>
      <c r="G24" t="s">
        <v>49</v>
      </c>
      <c r="H24" t="s">
        <v>47</v>
      </c>
      <c r="I24">
        <v>183</v>
      </c>
      <c r="J24">
        <v>184</v>
      </c>
      <c r="K24">
        <v>8</v>
      </c>
      <c r="L24">
        <v>6</v>
      </c>
      <c r="M24">
        <v>20</v>
      </c>
      <c r="N24">
        <v>19.399999999999999</v>
      </c>
    </row>
    <row r="25" spans="1:14" x14ac:dyDescent="0.3">
      <c r="A25" t="s">
        <v>237</v>
      </c>
      <c r="B25" s="1">
        <v>45760</v>
      </c>
      <c r="C25" t="s">
        <v>186</v>
      </c>
      <c r="D25" t="s">
        <v>73</v>
      </c>
      <c r="E25" t="s">
        <v>10</v>
      </c>
      <c r="F25" t="s">
        <v>73</v>
      </c>
      <c r="G25" t="s">
        <v>10</v>
      </c>
      <c r="H25" t="s">
        <v>21</v>
      </c>
      <c r="I25">
        <v>168</v>
      </c>
      <c r="J25">
        <v>171</v>
      </c>
      <c r="K25">
        <v>5</v>
      </c>
      <c r="L25">
        <v>4</v>
      </c>
      <c r="M25">
        <v>20</v>
      </c>
      <c r="N25">
        <v>19.100000000000001</v>
      </c>
    </row>
    <row r="26" spans="1:14" x14ac:dyDescent="0.3">
      <c r="A26" t="s">
        <v>238</v>
      </c>
      <c r="B26" s="1">
        <v>45761</v>
      </c>
      <c r="C26" t="s">
        <v>190</v>
      </c>
      <c r="D26" t="s">
        <v>100</v>
      </c>
      <c r="E26" t="s">
        <v>113</v>
      </c>
      <c r="F26" t="s">
        <v>100</v>
      </c>
      <c r="G26" t="s">
        <v>113</v>
      </c>
      <c r="H26" t="s">
        <v>119</v>
      </c>
      <c r="I26">
        <v>186</v>
      </c>
      <c r="J26">
        <v>187</v>
      </c>
      <c r="K26">
        <v>6</v>
      </c>
      <c r="L26">
        <v>5</v>
      </c>
      <c r="M26">
        <v>20</v>
      </c>
      <c r="N26">
        <v>19.2</v>
      </c>
    </row>
    <row r="27" spans="1:14" x14ac:dyDescent="0.3">
      <c r="A27" t="s">
        <v>239</v>
      </c>
      <c r="B27" s="1">
        <v>45762</v>
      </c>
      <c r="C27" t="s">
        <v>184</v>
      </c>
      <c r="D27" t="s">
        <v>61</v>
      </c>
      <c r="E27" t="s">
        <v>36</v>
      </c>
      <c r="F27" t="s">
        <v>36</v>
      </c>
      <c r="G27" t="s">
        <v>36</v>
      </c>
      <c r="H27" t="s">
        <v>44</v>
      </c>
      <c r="I27">
        <v>160</v>
      </c>
      <c r="J27">
        <v>161</v>
      </c>
      <c r="K27">
        <v>9</v>
      </c>
      <c r="L27">
        <v>7</v>
      </c>
      <c r="M27">
        <v>20</v>
      </c>
      <c r="N27">
        <v>19.5</v>
      </c>
    </row>
    <row r="28" spans="1:14" x14ac:dyDescent="0.3">
      <c r="A28" t="s">
        <v>240</v>
      </c>
      <c r="B28" s="1">
        <v>45763</v>
      </c>
      <c r="C28" t="s">
        <v>188</v>
      </c>
      <c r="D28" t="s">
        <v>86</v>
      </c>
      <c r="E28" t="s">
        <v>49</v>
      </c>
      <c r="F28" t="s">
        <v>49</v>
      </c>
      <c r="G28" t="s">
        <v>86</v>
      </c>
      <c r="H28" t="s">
        <v>84</v>
      </c>
      <c r="I28">
        <v>190</v>
      </c>
      <c r="J28">
        <v>185</v>
      </c>
      <c r="K28">
        <v>5</v>
      </c>
      <c r="L28">
        <v>8</v>
      </c>
      <c r="M28">
        <v>20</v>
      </c>
      <c r="N28">
        <v>20</v>
      </c>
    </row>
    <row r="29" spans="1:14" x14ac:dyDescent="0.3">
      <c r="A29" t="s">
        <v>241</v>
      </c>
      <c r="B29" s="1">
        <v>45764</v>
      </c>
      <c r="C29" t="s">
        <v>178</v>
      </c>
      <c r="D29" t="s">
        <v>10</v>
      </c>
      <c r="E29" t="s">
        <v>73</v>
      </c>
      <c r="F29" t="s">
        <v>10</v>
      </c>
      <c r="G29" t="s">
        <v>10</v>
      </c>
      <c r="H29" t="s">
        <v>27</v>
      </c>
      <c r="I29">
        <v>189</v>
      </c>
      <c r="J29">
        <v>173</v>
      </c>
      <c r="K29">
        <v>3</v>
      </c>
      <c r="L29">
        <v>9</v>
      </c>
      <c r="M29">
        <v>20</v>
      </c>
      <c r="N29">
        <v>20</v>
      </c>
    </row>
    <row r="30" spans="1:14" x14ac:dyDescent="0.3">
      <c r="A30" t="s">
        <v>242</v>
      </c>
      <c r="B30" s="1">
        <v>45765</v>
      </c>
      <c r="C30" t="s">
        <v>191</v>
      </c>
      <c r="D30" t="s">
        <v>113</v>
      </c>
      <c r="E30" t="s">
        <v>100</v>
      </c>
      <c r="F30" t="s">
        <v>113</v>
      </c>
      <c r="G30" t="s">
        <v>100</v>
      </c>
      <c r="H30" t="s">
        <v>105</v>
      </c>
      <c r="I30">
        <v>157</v>
      </c>
      <c r="J30">
        <v>158</v>
      </c>
      <c r="K30">
        <v>7</v>
      </c>
      <c r="L30">
        <v>6</v>
      </c>
      <c r="M30">
        <v>20</v>
      </c>
      <c r="N30">
        <v>19.3</v>
      </c>
    </row>
    <row r="31" spans="1:14" x14ac:dyDescent="0.3">
      <c r="A31" t="s">
        <v>243</v>
      </c>
      <c r="B31" s="1">
        <v>45766</v>
      </c>
      <c r="C31" t="s">
        <v>180</v>
      </c>
      <c r="D31" t="s">
        <v>36</v>
      </c>
      <c r="E31" t="s">
        <v>61</v>
      </c>
      <c r="F31" t="s">
        <v>61</v>
      </c>
      <c r="G31" t="s">
        <v>61</v>
      </c>
      <c r="H31" t="s">
        <v>59</v>
      </c>
      <c r="I31">
        <v>179</v>
      </c>
      <c r="J31">
        <v>180</v>
      </c>
      <c r="K31">
        <v>6</v>
      </c>
      <c r="L31">
        <v>5</v>
      </c>
      <c r="M31">
        <v>20</v>
      </c>
      <c r="N31">
        <v>19.2</v>
      </c>
    </row>
    <row r="32" spans="1:14" x14ac:dyDescent="0.3">
      <c r="A32" t="s">
        <v>244</v>
      </c>
      <c r="B32" s="1">
        <v>45767</v>
      </c>
      <c r="C32" t="s">
        <v>182</v>
      </c>
      <c r="D32" t="s">
        <v>49</v>
      </c>
      <c r="E32" t="s">
        <v>10</v>
      </c>
      <c r="F32" t="s">
        <v>10</v>
      </c>
      <c r="G32" t="s">
        <v>49</v>
      </c>
      <c r="H32" t="s">
        <v>56</v>
      </c>
      <c r="I32">
        <v>195</v>
      </c>
      <c r="J32">
        <v>190</v>
      </c>
      <c r="K32">
        <v>4</v>
      </c>
      <c r="L32">
        <v>8</v>
      </c>
      <c r="M32">
        <v>20</v>
      </c>
      <c r="N32">
        <v>20</v>
      </c>
    </row>
    <row r="33" spans="1:14" x14ac:dyDescent="0.3">
      <c r="A33" t="s">
        <v>245</v>
      </c>
      <c r="B33" s="1">
        <v>45768</v>
      </c>
      <c r="C33" t="s">
        <v>186</v>
      </c>
      <c r="D33" t="s">
        <v>73</v>
      </c>
      <c r="E33" t="s">
        <v>86</v>
      </c>
      <c r="F33" t="s">
        <v>86</v>
      </c>
      <c r="G33" t="s">
        <v>73</v>
      </c>
      <c r="H33" t="s">
        <v>81</v>
      </c>
      <c r="I33">
        <v>170</v>
      </c>
      <c r="J33">
        <v>169</v>
      </c>
      <c r="K33">
        <v>6</v>
      </c>
      <c r="L33">
        <v>7</v>
      </c>
      <c r="M33">
        <v>20</v>
      </c>
      <c r="N33">
        <v>20</v>
      </c>
    </row>
    <row r="34" spans="1:14" x14ac:dyDescent="0.3">
      <c r="A34" t="s">
        <v>246</v>
      </c>
      <c r="B34" s="1">
        <v>45769</v>
      </c>
      <c r="C34" t="s">
        <v>190</v>
      </c>
      <c r="D34" t="s">
        <v>100</v>
      </c>
      <c r="E34" t="s">
        <v>36</v>
      </c>
      <c r="F34" t="s">
        <v>100</v>
      </c>
      <c r="G34" t="s">
        <v>100</v>
      </c>
      <c r="H34" t="s">
        <v>107</v>
      </c>
      <c r="I34">
        <v>182</v>
      </c>
      <c r="J34">
        <v>175</v>
      </c>
      <c r="K34">
        <v>5</v>
      </c>
      <c r="L34">
        <v>9</v>
      </c>
      <c r="M34">
        <v>20</v>
      </c>
      <c r="N34">
        <v>20</v>
      </c>
    </row>
    <row r="35" spans="1:14" x14ac:dyDescent="0.3">
      <c r="A35" t="s">
        <v>247</v>
      </c>
      <c r="B35" s="1">
        <v>45770</v>
      </c>
      <c r="C35" t="s">
        <v>184</v>
      </c>
      <c r="D35" t="s">
        <v>61</v>
      </c>
      <c r="E35" t="s">
        <v>73</v>
      </c>
      <c r="F35" t="s">
        <v>73</v>
      </c>
      <c r="G35" t="s">
        <v>61</v>
      </c>
      <c r="H35" t="s">
        <v>63</v>
      </c>
      <c r="I35">
        <v>185</v>
      </c>
      <c r="J35">
        <v>178</v>
      </c>
      <c r="K35">
        <v>7</v>
      </c>
      <c r="L35">
        <v>9</v>
      </c>
      <c r="M35">
        <v>20</v>
      </c>
      <c r="N35">
        <v>20</v>
      </c>
    </row>
    <row r="36" spans="1:14" x14ac:dyDescent="0.3">
      <c r="A36" t="s">
        <v>248</v>
      </c>
      <c r="B36" s="1">
        <v>45771</v>
      </c>
      <c r="C36" t="s">
        <v>191</v>
      </c>
      <c r="D36" t="s">
        <v>113</v>
      </c>
      <c r="E36" t="s">
        <v>49</v>
      </c>
      <c r="F36" t="s">
        <v>113</v>
      </c>
      <c r="G36" t="s">
        <v>113</v>
      </c>
      <c r="H36" t="s">
        <v>117</v>
      </c>
      <c r="I36">
        <v>197</v>
      </c>
      <c r="J36">
        <v>196</v>
      </c>
      <c r="K36">
        <v>5</v>
      </c>
      <c r="L36">
        <v>8</v>
      </c>
      <c r="M36">
        <v>20</v>
      </c>
      <c r="N36">
        <v>20</v>
      </c>
    </row>
    <row r="37" spans="1:14" x14ac:dyDescent="0.3">
      <c r="A37" t="s">
        <v>249</v>
      </c>
      <c r="B37" s="1">
        <v>45772</v>
      </c>
      <c r="C37" t="s">
        <v>178</v>
      </c>
      <c r="D37" t="s">
        <v>10</v>
      </c>
      <c r="E37" t="s">
        <v>100</v>
      </c>
      <c r="F37" t="s">
        <v>100</v>
      </c>
      <c r="G37" t="s">
        <v>10</v>
      </c>
      <c r="H37" t="s">
        <v>31</v>
      </c>
      <c r="I37">
        <v>176</v>
      </c>
      <c r="J37">
        <v>172</v>
      </c>
      <c r="K37">
        <v>4</v>
      </c>
      <c r="L37">
        <v>8</v>
      </c>
      <c r="M37">
        <v>20</v>
      </c>
      <c r="N37">
        <v>20</v>
      </c>
    </row>
    <row r="38" spans="1:14" x14ac:dyDescent="0.3">
      <c r="A38" t="s">
        <v>250</v>
      </c>
      <c r="B38" s="1">
        <v>45773</v>
      </c>
      <c r="C38" t="s">
        <v>188</v>
      </c>
      <c r="D38" t="s">
        <v>86</v>
      </c>
      <c r="E38" t="s">
        <v>113</v>
      </c>
      <c r="F38" t="s">
        <v>113</v>
      </c>
      <c r="G38" t="s">
        <v>86</v>
      </c>
      <c r="H38" t="s">
        <v>91</v>
      </c>
      <c r="I38">
        <v>153</v>
      </c>
      <c r="J38">
        <v>150</v>
      </c>
      <c r="K38">
        <v>8</v>
      </c>
      <c r="L38">
        <v>10</v>
      </c>
      <c r="M38">
        <v>20</v>
      </c>
      <c r="N38">
        <v>19.3</v>
      </c>
    </row>
    <row r="39" spans="1:14" x14ac:dyDescent="0.3">
      <c r="A39" t="s">
        <v>251</v>
      </c>
      <c r="B39" s="1">
        <v>45774</v>
      </c>
      <c r="C39" t="s">
        <v>180</v>
      </c>
      <c r="D39" t="s">
        <v>36</v>
      </c>
      <c r="E39" t="s">
        <v>73</v>
      </c>
      <c r="F39" t="s">
        <v>73</v>
      </c>
      <c r="G39" t="s">
        <v>36</v>
      </c>
      <c r="H39" t="s">
        <v>37</v>
      </c>
      <c r="I39">
        <v>163</v>
      </c>
      <c r="J39">
        <v>158</v>
      </c>
      <c r="K39">
        <v>7</v>
      </c>
      <c r="L39">
        <v>8</v>
      </c>
      <c r="M39">
        <v>20</v>
      </c>
      <c r="N39">
        <v>20</v>
      </c>
    </row>
    <row r="40" spans="1:14" x14ac:dyDescent="0.3">
      <c r="A40" t="s">
        <v>252</v>
      </c>
      <c r="B40" s="1">
        <v>45775</v>
      </c>
      <c r="C40" t="s">
        <v>182</v>
      </c>
      <c r="D40" t="s">
        <v>49</v>
      </c>
      <c r="E40" t="s">
        <v>61</v>
      </c>
      <c r="F40" t="s">
        <v>61</v>
      </c>
      <c r="G40" t="s">
        <v>49</v>
      </c>
      <c r="H40" t="s">
        <v>47</v>
      </c>
      <c r="I40">
        <v>200</v>
      </c>
      <c r="J40">
        <v>195</v>
      </c>
      <c r="K40">
        <v>5</v>
      </c>
      <c r="L40">
        <v>8</v>
      </c>
      <c r="M40">
        <v>20</v>
      </c>
      <c r="N40">
        <v>20</v>
      </c>
    </row>
    <row r="41" spans="1:14" x14ac:dyDescent="0.3">
      <c r="A41" t="s">
        <v>253</v>
      </c>
      <c r="B41" s="1">
        <v>45776</v>
      </c>
      <c r="C41" t="s">
        <v>190</v>
      </c>
      <c r="D41" t="s">
        <v>100</v>
      </c>
      <c r="E41" t="s">
        <v>86</v>
      </c>
      <c r="F41" t="s">
        <v>100</v>
      </c>
      <c r="G41" t="s">
        <v>86</v>
      </c>
      <c r="H41" t="s">
        <v>95</v>
      </c>
      <c r="I41">
        <v>180</v>
      </c>
      <c r="J41">
        <v>181</v>
      </c>
      <c r="K41">
        <v>7</v>
      </c>
      <c r="L41">
        <v>4</v>
      </c>
      <c r="M41">
        <v>20</v>
      </c>
      <c r="N41">
        <v>19.399999999999999</v>
      </c>
    </row>
    <row r="42" spans="1:14" x14ac:dyDescent="0.3">
      <c r="A42" t="s">
        <v>254</v>
      </c>
      <c r="B42" s="1">
        <v>45777</v>
      </c>
      <c r="C42" t="s">
        <v>191</v>
      </c>
      <c r="D42" t="s">
        <v>113</v>
      </c>
      <c r="E42" t="s">
        <v>10</v>
      </c>
      <c r="F42" t="s">
        <v>10</v>
      </c>
      <c r="G42" t="s">
        <v>113</v>
      </c>
      <c r="H42" t="s">
        <v>111</v>
      </c>
      <c r="I42">
        <v>174</v>
      </c>
      <c r="J42">
        <v>173</v>
      </c>
      <c r="K42">
        <v>6</v>
      </c>
      <c r="L42">
        <v>7</v>
      </c>
      <c r="M42">
        <v>20</v>
      </c>
      <c r="N42">
        <v>20</v>
      </c>
    </row>
    <row r="43" spans="1:14" x14ac:dyDescent="0.3">
      <c r="A43" t="s">
        <v>255</v>
      </c>
      <c r="B43" s="1">
        <v>45778</v>
      </c>
      <c r="C43" t="s">
        <v>186</v>
      </c>
      <c r="D43" t="s">
        <v>73</v>
      </c>
      <c r="E43" t="s">
        <v>36</v>
      </c>
      <c r="F43" t="s">
        <v>36</v>
      </c>
      <c r="G43" t="s">
        <v>73</v>
      </c>
      <c r="H43" t="s">
        <v>71</v>
      </c>
      <c r="I43">
        <v>187</v>
      </c>
      <c r="J43">
        <v>175</v>
      </c>
      <c r="K43">
        <v>4</v>
      </c>
      <c r="L43">
        <v>9</v>
      </c>
      <c r="M43">
        <v>20</v>
      </c>
      <c r="N43">
        <v>20</v>
      </c>
    </row>
    <row r="44" spans="1:14" x14ac:dyDescent="0.3">
      <c r="A44" t="s">
        <v>256</v>
      </c>
      <c r="B44" s="1">
        <v>45779</v>
      </c>
      <c r="C44" t="s">
        <v>178</v>
      </c>
      <c r="D44" t="s">
        <v>10</v>
      </c>
      <c r="E44" t="s">
        <v>49</v>
      </c>
      <c r="F44" t="s">
        <v>49</v>
      </c>
      <c r="G44" t="s">
        <v>49</v>
      </c>
      <c r="H44" t="s">
        <v>51</v>
      </c>
      <c r="I44">
        <v>162</v>
      </c>
      <c r="J44">
        <v>165</v>
      </c>
      <c r="K44">
        <v>9</v>
      </c>
      <c r="L44">
        <v>5</v>
      </c>
      <c r="M44">
        <v>20</v>
      </c>
      <c r="N44">
        <v>19.2</v>
      </c>
    </row>
    <row r="45" spans="1:14" x14ac:dyDescent="0.3">
      <c r="A45" t="s">
        <v>257</v>
      </c>
      <c r="B45" s="1">
        <v>45780</v>
      </c>
      <c r="C45" t="s">
        <v>184</v>
      </c>
      <c r="D45" t="s">
        <v>61</v>
      </c>
      <c r="E45" t="s">
        <v>86</v>
      </c>
      <c r="F45" t="s">
        <v>86</v>
      </c>
      <c r="G45" t="s">
        <v>61</v>
      </c>
      <c r="H45" t="s">
        <v>59</v>
      </c>
      <c r="I45">
        <v>196</v>
      </c>
      <c r="J45">
        <v>188</v>
      </c>
      <c r="K45">
        <v>3</v>
      </c>
      <c r="L45">
        <v>8</v>
      </c>
      <c r="M45">
        <v>20</v>
      </c>
      <c r="N45">
        <v>20</v>
      </c>
    </row>
    <row r="46" spans="1:14" x14ac:dyDescent="0.3">
      <c r="A46" t="s">
        <v>258</v>
      </c>
      <c r="B46" s="1">
        <v>45781</v>
      </c>
      <c r="C46" t="s">
        <v>191</v>
      </c>
      <c r="D46" t="s">
        <v>113</v>
      </c>
      <c r="E46" t="s">
        <v>73</v>
      </c>
      <c r="F46" t="s">
        <v>73</v>
      </c>
      <c r="G46" t="s">
        <v>113</v>
      </c>
      <c r="H46" t="s">
        <v>119</v>
      </c>
      <c r="I46">
        <v>184</v>
      </c>
      <c r="J46">
        <v>183</v>
      </c>
      <c r="K46">
        <v>7</v>
      </c>
      <c r="L46">
        <v>9</v>
      </c>
      <c r="M46">
        <v>20</v>
      </c>
      <c r="N46">
        <v>20</v>
      </c>
    </row>
    <row r="47" spans="1:14" x14ac:dyDescent="0.3">
      <c r="A47" t="s">
        <v>259</v>
      </c>
      <c r="B47" s="1">
        <v>45782</v>
      </c>
      <c r="C47" t="s">
        <v>180</v>
      </c>
      <c r="D47" t="s">
        <v>36</v>
      </c>
      <c r="E47" t="s">
        <v>86</v>
      </c>
      <c r="F47" t="s">
        <v>86</v>
      </c>
      <c r="G47" t="s">
        <v>36</v>
      </c>
      <c r="H47" t="s">
        <v>34</v>
      </c>
      <c r="I47">
        <v>192</v>
      </c>
      <c r="J47">
        <v>174</v>
      </c>
      <c r="K47">
        <v>4</v>
      </c>
      <c r="L47">
        <v>8</v>
      </c>
      <c r="M47">
        <v>20</v>
      </c>
      <c r="N47">
        <v>20</v>
      </c>
    </row>
    <row r="48" spans="1:14" x14ac:dyDescent="0.3">
      <c r="A48" t="s">
        <v>260</v>
      </c>
      <c r="B48" s="1">
        <v>45783</v>
      </c>
      <c r="C48" t="s">
        <v>190</v>
      </c>
      <c r="D48" t="s">
        <v>100</v>
      </c>
      <c r="E48" t="s">
        <v>61</v>
      </c>
      <c r="F48" t="s">
        <v>100</v>
      </c>
      <c r="G48" t="s">
        <v>61</v>
      </c>
      <c r="H48" t="s">
        <v>63</v>
      </c>
      <c r="I48">
        <v>208</v>
      </c>
      <c r="J48">
        <v>198</v>
      </c>
      <c r="K48">
        <v>6</v>
      </c>
      <c r="L48">
        <v>7</v>
      </c>
      <c r="M48">
        <v>20</v>
      </c>
      <c r="N48">
        <v>20</v>
      </c>
    </row>
    <row r="49" spans="1:14" x14ac:dyDescent="0.3">
      <c r="A49" t="s">
        <v>261</v>
      </c>
      <c r="B49" s="1">
        <v>45784</v>
      </c>
      <c r="C49" t="s">
        <v>182</v>
      </c>
      <c r="D49" t="s">
        <v>49</v>
      </c>
      <c r="E49" t="s">
        <v>10</v>
      </c>
      <c r="F49" t="s">
        <v>10</v>
      </c>
      <c r="G49" t="s">
        <v>86</v>
      </c>
      <c r="H49" t="s">
        <v>84</v>
      </c>
      <c r="I49">
        <v>193</v>
      </c>
      <c r="J49">
        <v>165</v>
      </c>
      <c r="K49">
        <v>5</v>
      </c>
      <c r="L49">
        <v>10</v>
      </c>
      <c r="M49">
        <v>20</v>
      </c>
      <c r="N49">
        <v>17.2</v>
      </c>
    </row>
    <row r="50" spans="1:14" x14ac:dyDescent="0.3">
      <c r="A50" t="s">
        <v>262</v>
      </c>
      <c r="B50" s="1">
        <v>45785</v>
      </c>
      <c r="C50" t="s">
        <v>186</v>
      </c>
      <c r="D50" t="s">
        <v>73</v>
      </c>
      <c r="E50" t="s">
        <v>49</v>
      </c>
      <c r="F50" t="s">
        <v>49</v>
      </c>
      <c r="G50" t="s">
        <v>86</v>
      </c>
      <c r="H50" t="s">
        <v>95</v>
      </c>
      <c r="I50">
        <v>181</v>
      </c>
      <c r="J50">
        <v>185</v>
      </c>
      <c r="K50">
        <v>5</v>
      </c>
      <c r="L50">
        <v>4</v>
      </c>
      <c r="M50">
        <v>20</v>
      </c>
      <c r="N50">
        <v>19.3</v>
      </c>
    </row>
    <row r="51" spans="1:14" x14ac:dyDescent="0.3">
      <c r="A51" t="s">
        <v>263</v>
      </c>
      <c r="B51" s="1">
        <v>45786</v>
      </c>
      <c r="C51" t="s">
        <v>188</v>
      </c>
      <c r="D51" t="s">
        <v>86</v>
      </c>
      <c r="E51" t="s">
        <v>36</v>
      </c>
      <c r="F51" t="s">
        <v>73</v>
      </c>
      <c r="G51" t="s">
        <v>61</v>
      </c>
      <c r="H51" t="s">
        <v>66</v>
      </c>
      <c r="I51">
        <v>164</v>
      </c>
      <c r="J51">
        <v>165</v>
      </c>
      <c r="K51">
        <v>8</v>
      </c>
      <c r="L51">
        <v>3</v>
      </c>
      <c r="M51">
        <v>20</v>
      </c>
      <c r="N51">
        <v>18.399999999999999</v>
      </c>
    </row>
    <row r="52" spans="1:14" x14ac:dyDescent="0.3">
      <c r="A52" t="s">
        <v>264</v>
      </c>
      <c r="B52" s="1">
        <v>45787</v>
      </c>
      <c r="C52" t="s">
        <v>178</v>
      </c>
      <c r="D52" t="s">
        <v>10</v>
      </c>
      <c r="E52" t="s">
        <v>36</v>
      </c>
      <c r="F52" t="s">
        <v>100</v>
      </c>
      <c r="G52" t="s">
        <v>36</v>
      </c>
      <c r="H52" t="s">
        <v>37</v>
      </c>
      <c r="I52">
        <v>178</v>
      </c>
      <c r="J52">
        <v>169</v>
      </c>
      <c r="K52">
        <v>6</v>
      </c>
      <c r="L52">
        <v>9</v>
      </c>
      <c r="M52">
        <v>20</v>
      </c>
      <c r="N52">
        <v>20</v>
      </c>
    </row>
    <row r="53" spans="1:14" x14ac:dyDescent="0.3">
      <c r="A53" t="s">
        <v>265</v>
      </c>
      <c r="B53" s="1">
        <v>45788</v>
      </c>
      <c r="C53" t="s">
        <v>184</v>
      </c>
      <c r="D53" t="s">
        <v>61</v>
      </c>
      <c r="E53" t="s">
        <v>113</v>
      </c>
      <c r="F53" t="s">
        <v>10</v>
      </c>
      <c r="G53" t="s">
        <v>113</v>
      </c>
      <c r="H53" t="s">
        <v>117</v>
      </c>
      <c r="I53">
        <v>154</v>
      </c>
      <c r="J53">
        <v>155</v>
      </c>
      <c r="K53">
        <v>10</v>
      </c>
      <c r="L53">
        <v>3</v>
      </c>
      <c r="M53">
        <v>19.5</v>
      </c>
      <c r="N53">
        <v>17</v>
      </c>
    </row>
    <row r="54" spans="1:14" x14ac:dyDescent="0.3">
      <c r="A54" t="s">
        <v>266</v>
      </c>
      <c r="B54" s="1">
        <v>45789</v>
      </c>
      <c r="C54" t="s">
        <v>191</v>
      </c>
      <c r="D54" t="s">
        <v>113</v>
      </c>
      <c r="E54" t="s">
        <v>49</v>
      </c>
      <c r="F54" t="s">
        <v>49</v>
      </c>
      <c r="G54" t="s">
        <v>61</v>
      </c>
      <c r="H54" t="s">
        <v>68</v>
      </c>
      <c r="I54">
        <v>171</v>
      </c>
      <c r="J54">
        <v>156</v>
      </c>
      <c r="K54">
        <v>5</v>
      </c>
      <c r="L54">
        <v>9</v>
      </c>
      <c r="M54">
        <v>20</v>
      </c>
      <c r="N54">
        <v>18.3</v>
      </c>
    </row>
    <row r="55" spans="1:14" x14ac:dyDescent="0.3">
      <c r="A55" t="s">
        <v>267</v>
      </c>
      <c r="B55" s="1">
        <v>45790</v>
      </c>
      <c r="C55" t="s">
        <v>190</v>
      </c>
      <c r="D55" t="s">
        <v>100</v>
      </c>
      <c r="E55" t="s">
        <v>73</v>
      </c>
      <c r="F55" t="s">
        <v>73</v>
      </c>
      <c r="G55" t="s">
        <v>73</v>
      </c>
      <c r="H55" t="s">
        <v>75</v>
      </c>
      <c r="I55">
        <v>149</v>
      </c>
      <c r="J55">
        <v>150</v>
      </c>
      <c r="K55">
        <v>9</v>
      </c>
      <c r="L55">
        <v>4</v>
      </c>
      <c r="M55">
        <v>20</v>
      </c>
      <c r="N55">
        <v>18.100000000000001</v>
      </c>
    </row>
    <row r="56" spans="1:14" x14ac:dyDescent="0.3">
      <c r="A56" t="s">
        <v>268</v>
      </c>
      <c r="B56" s="1">
        <v>45791</v>
      </c>
      <c r="C56" t="s">
        <v>182</v>
      </c>
      <c r="D56" t="s">
        <v>49</v>
      </c>
      <c r="E56" t="s">
        <v>86</v>
      </c>
      <c r="F56" t="s">
        <v>10</v>
      </c>
      <c r="G56" t="s">
        <v>100</v>
      </c>
      <c r="H56" t="s">
        <v>98</v>
      </c>
      <c r="I56">
        <v>177</v>
      </c>
      <c r="J56">
        <v>152</v>
      </c>
      <c r="K56">
        <v>7</v>
      </c>
      <c r="L56">
        <v>8</v>
      </c>
      <c r="M56">
        <v>20</v>
      </c>
      <c r="N56">
        <v>18.399999999999999</v>
      </c>
    </row>
    <row r="57" spans="1:14" x14ac:dyDescent="0.3">
      <c r="A57" t="s">
        <v>269</v>
      </c>
      <c r="B57" s="1">
        <v>45792</v>
      </c>
      <c r="C57" t="s">
        <v>178</v>
      </c>
      <c r="D57" t="s">
        <v>10</v>
      </c>
      <c r="E57" t="s">
        <v>61</v>
      </c>
      <c r="F57" t="s">
        <v>36</v>
      </c>
      <c r="G57" t="s">
        <v>36</v>
      </c>
      <c r="H57" t="s">
        <v>41</v>
      </c>
      <c r="I57">
        <v>161</v>
      </c>
      <c r="J57">
        <v>162</v>
      </c>
      <c r="K57">
        <v>8</v>
      </c>
      <c r="L57">
        <v>6</v>
      </c>
      <c r="M57">
        <v>20</v>
      </c>
      <c r="N57">
        <v>19.2</v>
      </c>
    </row>
    <row r="58" spans="1:14" x14ac:dyDescent="0.3">
      <c r="A58" t="s">
        <v>270</v>
      </c>
      <c r="B58" s="1">
        <v>45793</v>
      </c>
      <c r="C58" t="s">
        <v>180</v>
      </c>
      <c r="D58" t="s">
        <v>36</v>
      </c>
      <c r="E58" t="s">
        <v>113</v>
      </c>
      <c r="F58" t="s">
        <v>73</v>
      </c>
      <c r="G58" t="s">
        <v>49</v>
      </c>
      <c r="H58" t="s">
        <v>47</v>
      </c>
      <c r="I58">
        <v>198</v>
      </c>
      <c r="J58">
        <v>187</v>
      </c>
      <c r="K58">
        <v>3</v>
      </c>
      <c r="L58">
        <v>8</v>
      </c>
      <c r="M58">
        <v>20</v>
      </c>
      <c r="N58">
        <v>20</v>
      </c>
    </row>
    <row r="59" spans="1:14" x14ac:dyDescent="0.3">
      <c r="A59" t="s">
        <v>271</v>
      </c>
      <c r="B59" s="1">
        <v>45794</v>
      </c>
      <c r="C59" t="s">
        <v>186</v>
      </c>
      <c r="D59" t="s">
        <v>73</v>
      </c>
      <c r="E59" t="s">
        <v>86</v>
      </c>
      <c r="F59" t="s">
        <v>86</v>
      </c>
      <c r="G59" t="s">
        <v>10</v>
      </c>
      <c r="H59" t="s">
        <v>8</v>
      </c>
      <c r="I59">
        <v>188</v>
      </c>
      <c r="J59">
        <v>186</v>
      </c>
      <c r="K59">
        <v>6</v>
      </c>
      <c r="L59">
        <v>8</v>
      </c>
      <c r="M59">
        <v>20</v>
      </c>
      <c r="N59">
        <v>20</v>
      </c>
    </row>
    <row r="60" spans="1:14" x14ac:dyDescent="0.3">
      <c r="A60" t="s">
        <v>272</v>
      </c>
      <c r="B60" s="1">
        <v>45795</v>
      </c>
      <c r="C60" t="s">
        <v>184</v>
      </c>
      <c r="D60" t="s">
        <v>61</v>
      </c>
      <c r="E60" t="s">
        <v>100</v>
      </c>
      <c r="F60" t="s">
        <v>113</v>
      </c>
      <c r="G60" t="s">
        <v>113</v>
      </c>
      <c r="H60" t="s">
        <v>111</v>
      </c>
      <c r="I60">
        <v>169</v>
      </c>
      <c r="J60">
        <v>170</v>
      </c>
      <c r="K60">
        <v>8</v>
      </c>
      <c r="L60">
        <v>4</v>
      </c>
      <c r="M60">
        <v>20</v>
      </c>
      <c r="N60">
        <v>19.100000000000001</v>
      </c>
    </row>
    <row r="61" spans="1:14" x14ac:dyDescent="0.3">
      <c r="A61" t="s">
        <v>273</v>
      </c>
      <c r="B61" s="1">
        <v>45796</v>
      </c>
      <c r="C61" t="s">
        <v>188</v>
      </c>
      <c r="D61" t="s">
        <v>86</v>
      </c>
      <c r="E61" t="s">
        <v>10</v>
      </c>
      <c r="F61" t="s">
        <v>73</v>
      </c>
      <c r="G61" t="s">
        <v>100</v>
      </c>
      <c r="H61" t="s">
        <v>101</v>
      </c>
      <c r="I61">
        <v>155</v>
      </c>
      <c r="J61">
        <v>156</v>
      </c>
      <c r="K61">
        <v>10</v>
      </c>
      <c r="L61">
        <v>6</v>
      </c>
      <c r="M61">
        <v>20</v>
      </c>
      <c r="N61">
        <v>19.399999999999999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D9035-7159-4E69-A493-8F826EDB63AD}">
  <dimension ref="A1:D11"/>
  <sheetViews>
    <sheetView workbookViewId="0">
      <selection sqref="A1:D11"/>
    </sheetView>
  </sheetViews>
  <sheetFormatPr defaultRowHeight="14.4" x14ac:dyDescent="0.3"/>
  <cols>
    <col min="1" max="1" width="11.44140625" bestFit="1" customWidth="1"/>
    <col min="2" max="2" width="51.33203125" bestFit="1" customWidth="1"/>
    <col min="3" max="3" width="10.6640625" bestFit="1" customWidth="1"/>
    <col min="4" max="4" width="10.44140625" bestFit="1" customWidth="1"/>
  </cols>
  <sheetData>
    <row r="1" spans="1:4" x14ac:dyDescent="0.3">
      <c r="A1" t="s">
        <v>175</v>
      </c>
      <c r="B1" t="s">
        <v>176</v>
      </c>
      <c r="C1" t="s">
        <v>125</v>
      </c>
      <c r="D1" t="s">
        <v>177</v>
      </c>
    </row>
    <row r="2" spans="1:4" x14ac:dyDescent="0.3">
      <c r="A2" t="s">
        <v>178</v>
      </c>
      <c r="B2" t="s">
        <v>130</v>
      </c>
      <c r="C2" t="s">
        <v>131</v>
      </c>
      <c r="D2" t="s">
        <v>179</v>
      </c>
    </row>
    <row r="3" spans="1:4" x14ac:dyDescent="0.3">
      <c r="A3" t="s">
        <v>180</v>
      </c>
      <c r="B3" t="s">
        <v>136</v>
      </c>
      <c r="C3" t="s">
        <v>137</v>
      </c>
      <c r="D3" t="s">
        <v>181</v>
      </c>
    </row>
    <row r="4" spans="1:4" x14ac:dyDescent="0.3">
      <c r="A4" t="s">
        <v>182</v>
      </c>
      <c r="B4" t="s">
        <v>142</v>
      </c>
      <c r="C4" t="s">
        <v>143</v>
      </c>
      <c r="D4" t="s">
        <v>183</v>
      </c>
    </row>
    <row r="5" spans="1:4" x14ac:dyDescent="0.3">
      <c r="A5" t="s">
        <v>184</v>
      </c>
      <c r="B5" t="s">
        <v>148</v>
      </c>
      <c r="C5" t="s">
        <v>149</v>
      </c>
      <c r="D5" t="s">
        <v>185</v>
      </c>
    </row>
    <row r="6" spans="1:4" x14ac:dyDescent="0.3">
      <c r="A6" t="s">
        <v>186</v>
      </c>
      <c r="B6" t="s">
        <v>154</v>
      </c>
      <c r="C6" t="s">
        <v>155</v>
      </c>
      <c r="D6" t="s">
        <v>187</v>
      </c>
    </row>
    <row r="7" spans="1:4" x14ac:dyDescent="0.3">
      <c r="A7" t="s">
        <v>188</v>
      </c>
      <c r="B7" t="s">
        <v>160</v>
      </c>
      <c r="C7" t="s">
        <v>161</v>
      </c>
      <c r="D7" t="s">
        <v>189</v>
      </c>
    </row>
    <row r="8" spans="1:4" x14ac:dyDescent="0.3">
      <c r="A8" t="s">
        <v>190</v>
      </c>
      <c r="B8" t="s">
        <v>166</v>
      </c>
      <c r="C8" t="s">
        <v>167</v>
      </c>
      <c r="D8" t="s">
        <v>181</v>
      </c>
    </row>
    <row r="9" spans="1:4" x14ac:dyDescent="0.3">
      <c r="A9" t="s">
        <v>191</v>
      </c>
      <c r="B9" t="s">
        <v>172</v>
      </c>
      <c r="C9" t="s">
        <v>173</v>
      </c>
      <c r="D9" t="s">
        <v>192</v>
      </c>
    </row>
    <row r="10" spans="1:4" x14ac:dyDescent="0.3">
      <c r="A10" t="s">
        <v>193</v>
      </c>
      <c r="B10" t="s">
        <v>194</v>
      </c>
      <c r="C10" t="s">
        <v>195</v>
      </c>
      <c r="D10" t="s">
        <v>196</v>
      </c>
    </row>
    <row r="11" spans="1:4" x14ac:dyDescent="0.3">
      <c r="A11" t="s">
        <v>197</v>
      </c>
      <c r="B11" t="s">
        <v>198</v>
      </c>
      <c r="C11" t="s">
        <v>199</v>
      </c>
      <c r="D11" t="s">
        <v>200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7258A-FB96-4492-B182-A9ADB8D55DAD}">
  <dimension ref="A1:G9"/>
  <sheetViews>
    <sheetView workbookViewId="0">
      <selection activeCell="E9" sqref="E9"/>
    </sheetView>
  </sheetViews>
  <sheetFormatPr defaultRowHeight="14.4" x14ac:dyDescent="0.3"/>
  <cols>
    <col min="1" max="1" width="10.6640625" bestFit="1" customWidth="1"/>
    <col min="2" max="2" width="29.21875" bestFit="1" customWidth="1"/>
    <col min="3" max="3" width="14.44140625" bestFit="1" customWidth="1"/>
    <col min="4" max="4" width="17" bestFit="1" customWidth="1"/>
    <col min="5" max="5" width="40" bestFit="1" customWidth="1"/>
    <col min="6" max="6" width="9.77734375" bestFit="1" customWidth="1"/>
    <col min="7" max="7" width="16.33203125" bestFit="1" customWidth="1"/>
  </cols>
  <sheetData>
    <row r="1" spans="1:7" x14ac:dyDescent="0.3">
      <c r="A1" t="s">
        <v>2</v>
      </c>
      <c r="B1" t="s">
        <v>121</v>
      </c>
      <c r="C1" t="s">
        <v>122</v>
      </c>
      <c r="D1" t="s">
        <v>123</v>
      </c>
      <c r="E1" t="s">
        <v>124</v>
      </c>
      <c r="F1" t="s">
        <v>125</v>
      </c>
      <c r="G1" t="s">
        <v>126</v>
      </c>
    </row>
    <row r="2" spans="1:7" x14ac:dyDescent="0.3">
      <c r="A2" t="s">
        <v>10</v>
      </c>
      <c r="B2" t="s">
        <v>127</v>
      </c>
      <c r="C2" t="s">
        <v>128</v>
      </c>
      <c r="D2" t="s">
        <v>129</v>
      </c>
      <c r="E2" t="s">
        <v>130</v>
      </c>
      <c r="F2" t="s">
        <v>131</v>
      </c>
      <c r="G2" t="s">
        <v>132</v>
      </c>
    </row>
    <row r="3" spans="1:7" x14ac:dyDescent="0.3">
      <c r="A3" t="s">
        <v>36</v>
      </c>
      <c r="B3" t="s">
        <v>133</v>
      </c>
      <c r="C3" t="s">
        <v>134</v>
      </c>
      <c r="D3" t="s">
        <v>135</v>
      </c>
      <c r="E3" t="s">
        <v>136</v>
      </c>
      <c r="F3" t="s">
        <v>137</v>
      </c>
      <c r="G3" t="s">
        <v>138</v>
      </c>
    </row>
    <row r="4" spans="1:7" x14ac:dyDescent="0.3">
      <c r="A4" t="s">
        <v>49</v>
      </c>
      <c r="B4" t="s">
        <v>139</v>
      </c>
      <c r="C4" t="s">
        <v>140</v>
      </c>
      <c r="D4" t="s">
        <v>141</v>
      </c>
      <c r="E4" t="s">
        <v>142</v>
      </c>
      <c r="F4" t="s">
        <v>143</v>
      </c>
      <c r="G4" t="s">
        <v>144</v>
      </c>
    </row>
    <row r="5" spans="1:7" x14ac:dyDescent="0.3">
      <c r="A5" t="s">
        <v>61</v>
      </c>
      <c r="B5" t="s">
        <v>145</v>
      </c>
      <c r="C5" t="s">
        <v>146</v>
      </c>
      <c r="D5" t="s">
        <v>147</v>
      </c>
      <c r="E5" t="s">
        <v>148</v>
      </c>
      <c r="F5" t="s">
        <v>149</v>
      </c>
      <c r="G5" t="s">
        <v>150</v>
      </c>
    </row>
    <row r="6" spans="1:7" x14ac:dyDescent="0.3">
      <c r="A6" t="s">
        <v>73</v>
      </c>
      <c r="B6" t="s">
        <v>151</v>
      </c>
      <c r="C6" t="s">
        <v>152</v>
      </c>
      <c r="D6" t="s">
        <v>153</v>
      </c>
      <c r="E6" t="s">
        <v>154</v>
      </c>
      <c r="F6" t="s">
        <v>155</v>
      </c>
      <c r="G6" t="s">
        <v>156</v>
      </c>
    </row>
    <row r="7" spans="1:7" x14ac:dyDescent="0.3">
      <c r="A7" t="s">
        <v>86</v>
      </c>
      <c r="B7" t="s">
        <v>157</v>
      </c>
      <c r="C7" t="s">
        <v>158</v>
      </c>
      <c r="D7" t="s">
        <v>159</v>
      </c>
      <c r="E7" t="s">
        <v>160</v>
      </c>
      <c r="F7" t="s">
        <v>161</v>
      </c>
      <c r="G7" t="s">
        <v>162</v>
      </c>
    </row>
    <row r="8" spans="1:7" x14ac:dyDescent="0.3">
      <c r="A8" t="s">
        <v>100</v>
      </c>
      <c r="B8" t="s">
        <v>163</v>
      </c>
      <c r="C8" t="s">
        <v>164</v>
      </c>
      <c r="D8" t="s">
        <v>165</v>
      </c>
      <c r="E8" t="s">
        <v>166</v>
      </c>
      <c r="F8" t="s">
        <v>167</v>
      </c>
      <c r="G8" t="s">
        <v>168</v>
      </c>
    </row>
    <row r="9" spans="1:7" x14ac:dyDescent="0.3">
      <c r="A9" t="s">
        <v>113</v>
      </c>
      <c r="B9" t="s">
        <v>169</v>
      </c>
      <c r="C9" t="s">
        <v>170</v>
      </c>
      <c r="D9" t="s">
        <v>171</v>
      </c>
      <c r="E9" t="s">
        <v>172</v>
      </c>
      <c r="F9" t="s">
        <v>173</v>
      </c>
      <c r="G9" t="s">
        <v>174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D3EC2-6C67-4832-8990-4C1E3B92694A}">
  <dimension ref="A1:H34"/>
  <sheetViews>
    <sheetView topLeftCell="A2" workbookViewId="0"/>
  </sheetViews>
  <sheetFormatPr defaultRowHeight="14.4" x14ac:dyDescent="0.3"/>
  <cols>
    <col min="1" max="1" width="11.21875" bestFit="1" customWidth="1"/>
    <col min="2" max="2" width="18.5546875" bestFit="1" customWidth="1"/>
    <col min="3" max="3" width="10.6640625" bestFit="1" customWidth="1"/>
    <col min="4" max="4" width="12.21875" bestFit="1" customWidth="1"/>
    <col min="5" max="5" width="13.33203125" bestFit="1" customWidth="1"/>
    <col min="6" max="6" width="6.44140625" bestFit="1" customWidth="1"/>
    <col min="7" max="7" width="14.33203125" bestFit="1" customWidth="1"/>
    <col min="8" max="8" width="20.33203125" bestFit="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t="s">
        <v>13</v>
      </c>
      <c r="G2" t="s">
        <v>14</v>
      </c>
      <c r="H2" t="s">
        <v>15</v>
      </c>
    </row>
    <row r="3" spans="1:8" x14ac:dyDescent="0.3">
      <c r="A3" t="s">
        <v>16</v>
      </c>
      <c r="B3" t="s">
        <v>17</v>
      </c>
      <c r="C3" t="s">
        <v>10</v>
      </c>
      <c r="D3" t="s">
        <v>18</v>
      </c>
      <c r="E3" t="s">
        <v>12</v>
      </c>
      <c r="F3" t="s">
        <v>19</v>
      </c>
      <c r="G3" t="s">
        <v>14</v>
      </c>
      <c r="H3" t="s">
        <v>20</v>
      </c>
    </row>
    <row r="4" spans="1:8" x14ac:dyDescent="0.3">
      <c r="A4" t="s">
        <v>21</v>
      </c>
      <c r="B4" t="s">
        <v>22</v>
      </c>
      <c r="C4" t="s">
        <v>10</v>
      </c>
      <c r="D4" t="s">
        <v>23</v>
      </c>
      <c r="E4" t="s">
        <v>12</v>
      </c>
      <c r="F4" t="s">
        <v>24</v>
      </c>
      <c r="G4" t="s">
        <v>25</v>
      </c>
      <c r="H4" t="s">
        <v>26</v>
      </c>
    </row>
    <row r="5" spans="1:8" x14ac:dyDescent="0.3">
      <c r="A5" t="s">
        <v>27</v>
      </c>
      <c r="B5" t="s">
        <v>28</v>
      </c>
      <c r="C5" t="s">
        <v>10</v>
      </c>
      <c r="D5" t="s">
        <v>29</v>
      </c>
      <c r="E5" t="s">
        <v>12</v>
      </c>
      <c r="F5" t="s">
        <v>30</v>
      </c>
      <c r="G5" t="s">
        <v>25</v>
      </c>
      <c r="H5" t="s">
        <v>15</v>
      </c>
    </row>
    <row r="6" spans="1:8" x14ac:dyDescent="0.3">
      <c r="A6" t="s">
        <v>31</v>
      </c>
      <c r="B6" t="s">
        <v>32</v>
      </c>
      <c r="C6" t="s">
        <v>10</v>
      </c>
      <c r="D6" t="s">
        <v>29</v>
      </c>
      <c r="E6" t="s">
        <v>12</v>
      </c>
      <c r="F6" t="s">
        <v>19</v>
      </c>
      <c r="G6" t="s">
        <v>14</v>
      </c>
      <c r="H6" t="s">
        <v>33</v>
      </c>
    </row>
    <row r="7" spans="1:8" x14ac:dyDescent="0.3">
      <c r="A7" t="s">
        <v>34</v>
      </c>
      <c r="B7" t="s">
        <v>35</v>
      </c>
      <c r="C7" t="s">
        <v>36</v>
      </c>
      <c r="D7" t="s">
        <v>29</v>
      </c>
      <c r="E7" t="s">
        <v>12</v>
      </c>
      <c r="F7" t="s">
        <v>19</v>
      </c>
      <c r="G7" t="s">
        <v>25</v>
      </c>
      <c r="H7" t="s">
        <v>33</v>
      </c>
    </row>
    <row r="8" spans="1:8" x14ac:dyDescent="0.3">
      <c r="A8" t="s">
        <v>37</v>
      </c>
      <c r="B8" t="s">
        <v>38</v>
      </c>
      <c r="C8" t="s">
        <v>36</v>
      </c>
      <c r="D8" t="s">
        <v>18</v>
      </c>
      <c r="E8" t="s">
        <v>12</v>
      </c>
      <c r="F8" t="s">
        <v>39</v>
      </c>
      <c r="G8" t="s">
        <v>14</v>
      </c>
      <c r="H8" t="s">
        <v>40</v>
      </c>
    </row>
    <row r="9" spans="1:8" x14ac:dyDescent="0.3">
      <c r="A9" t="s">
        <v>41</v>
      </c>
      <c r="B9" t="s">
        <v>42</v>
      </c>
      <c r="C9" t="s">
        <v>36</v>
      </c>
      <c r="D9" t="s">
        <v>29</v>
      </c>
      <c r="E9" t="s">
        <v>43</v>
      </c>
      <c r="F9" t="s">
        <v>13</v>
      </c>
      <c r="G9" t="s">
        <v>14</v>
      </c>
      <c r="H9" t="s">
        <v>33</v>
      </c>
    </row>
    <row r="10" spans="1:8" x14ac:dyDescent="0.3">
      <c r="A10" t="s">
        <v>44</v>
      </c>
      <c r="B10" t="s">
        <v>45</v>
      </c>
      <c r="C10" t="s">
        <v>36</v>
      </c>
      <c r="D10" t="s">
        <v>18</v>
      </c>
      <c r="E10" t="s">
        <v>46</v>
      </c>
      <c r="F10" t="s">
        <v>30</v>
      </c>
      <c r="G10" t="s">
        <v>14</v>
      </c>
      <c r="H10" t="s">
        <v>20</v>
      </c>
    </row>
    <row r="11" spans="1:8" x14ac:dyDescent="0.3">
      <c r="A11" t="s">
        <v>47</v>
      </c>
      <c r="B11" t="s">
        <v>48</v>
      </c>
      <c r="C11" t="s">
        <v>49</v>
      </c>
      <c r="D11" t="s">
        <v>11</v>
      </c>
      <c r="E11" t="s">
        <v>12</v>
      </c>
      <c r="F11" t="s">
        <v>50</v>
      </c>
      <c r="G11" t="s">
        <v>14</v>
      </c>
      <c r="H11" t="s">
        <v>33</v>
      </c>
    </row>
    <row r="12" spans="1:8" x14ac:dyDescent="0.3">
      <c r="A12" t="s">
        <v>51</v>
      </c>
      <c r="B12" t="s">
        <v>52</v>
      </c>
      <c r="C12" t="s">
        <v>49</v>
      </c>
      <c r="D12" t="s">
        <v>18</v>
      </c>
      <c r="E12" t="s">
        <v>12</v>
      </c>
      <c r="F12" t="s">
        <v>19</v>
      </c>
      <c r="G12" t="s">
        <v>14</v>
      </c>
      <c r="H12" t="s">
        <v>20</v>
      </c>
    </row>
    <row r="13" spans="1:8" x14ac:dyDescent="0.3">
      <c r="A13" t="s">
        <v>53</v>
      </c>
      <c r="B13" t="s">
        <v>54</v>
      </c>
      <c r="C13" t="s">
        <v>49</v>
      </c>
      <c r="D13" t="s">
        <v>29</v>
      </c>
      <c r="E13" t="s">
        <v>55</v>
      </c>
      <c r="F13" t="s">
        <v>50</v>
      </c>
      <c r="G13" t="s">
        <v>14</v>
      </c>
      <c r="H13" t="s">
        <v>15</v>
      </c>
    </row>
    <row r="14" spans="1:8" x14ac:dyDescent="0.3">
      <c r="A14" t="s">
        <v>56</v>
      </c>
      <c r="B14" t="s">
        <v>57</v>
      </c>
      <c r="C14" t="s">
        <v>49</v>
      </c>
      <c r="D14" t="s">
        <v>23</v>
      </c>
      <c r="E14" t="s">
        <v>12</v>
      </c>
      <c r="F14" t="s">
        <v>58</v>
      </c>
      <c r="G14" t="s">
        <v>14</v>
      </c>
      <c r="H14" t="s">
        <v>26</v>
      </c>
    </row>
    <row r="15" spans="1:8" x14ac:dyDescent="0.3">
      <c r="A15" t="s">
        <v>59</v>
      </c>
      <c r="B15" t="s">
        <v>60</v>
      </c>
      <c r="C15" t="s">
        <v>61</v>
      </c>
      <c r="D15" t="s">
        <v>11</v>
      </c>
      <c r="E15" t="s">
        <v>12</v>
      </c>
      <c r="F15" t="s">
        <v>62</v>
      </c>
      <c r="G15" t="s">
        <v>25</v>
      </c>
      <c r="H15" t="s">
        <v>15</v>
      </c>
    </row>
    <row r="16" spans="1:8" x14ac:dyDescent="0.3">
      <c r="A16" t="s">
        <v>63</v>
      </c>
      <c r="B16" t="s">
        <v>64</v>
      </c>
      <c r="C16" t="s">
        <v>61</v>
      </c>
      <c r="D16" t="s">
        <v>29</v>
      </c>
      <c r="E16" t="s">
        <v>65</v>
      </c>
      <c r="F16" t="s">
        <v>50</v>
      </c>
      <c r="G16" t="s">
        <v>14</v>
      </c>
      <c r="H16" t="s">
        <v>20</v>
      </c>
    </row>
    <row r="17" spans="1:8" x14ac:dyDescent="0.3">
      <c r="A17" t="s">
        <v>66</v>
      </c>
      <c r="B17" t="s">
        <v>67</v>
      </c>
      <c r="C17" t="s">
        <v>61</v>
      </c>
      <c r="D17" t="s">
        <v>29</v>
      </c>
      <c r="E17" t="s">
        <v>65</v>
      </c>
      <c r="F17" t="s">
        <v>50</v>
      </c>
      <c r="G17" t="s">
        <v>25</v>
      </c>
      <c r="H17" t="s">
        <v>15</v>
      </c>
    </row>
    <row r="18" spans="1:8" x14ac:dyDescent="0.3">
      <c r="A18" t="s">
        <v>68</v>
      </c>
      <c r="B18" t="s">
        <v>69</v>
      </c>
      <c r="C18" t="s">
        <v>61</v>
      </c>
      <c r="D18" t="s">
        <v>18</v>
      </c>
      <c r="E18" t="s">
        <v>12</v>
      </c>
      <c r="F18" t="s">
        <v>13</v>
      </c>
      <c r="G18" t="s">
        <v>14</v>
      </c>
      <c r="H18" t="s">
        <v>70</v>
      </c>
    </row>
    <row r="19" spans="1:8" x14ac:dyDescent="0.3">
      <c r="A19" t="s">
        <v>71</v>
      </c>
      <c r="B19" t="s">
        <v>72</v>
      </c>
      <c r="C19" t="s">
        <v>73</v>
      </c>
      <c r="D19" t="s">
        <v>11</v>
      </c>
      <c r="E19" t="s">
        <v>55</v>
      </c>
      <c r="F19" t="s">
        <v>74</v>
      </c>
      <c r="G19" t="s">
        <v>25</v>
      </c>
      <c r="H19" t="s">
        <v>70</v>
      </c>
    </row>
    <row r="20" spans="1:8" x14ac:dyDescent="0.3">
      <c r="A20" t="s">
        <v>75</v>
      </c>
      <c r="B20" t="s">
        <v>76</v>
      </c>
      <c r="C20" t="s">
        <v>73</v>
      </c>
      <c r="D20" t="s">
        <v>18</v>
      </c>
      <c r="E20" t="s">
        <v>12</v>
      </c>
      <c r="F20" t="s">
        <v>77</v>
      </c>
      <c r="G20" t="s">
        <v>25</v>
      </c>
      <c r="H20" t="s">
        <v>78</v>
      </c>
    </row>
    <row r="21" spans="1:8" x14ac:dyDescent="0.3">
      <c r="A21" t="s">
        <v>79</v>
      </c>
      <c r="B21" t="s">
        <v>80</v>
      </c>
      <c r="C21" t="s">
        <v>73</v>
      </c>
      <c r="D21" t="s">
        <v>29</v>
      </c>
      <c r="E21" t="s">
        <v>55</v>
      </c>
      <c r="F21" t="s">
        <v>13</v>
      </c>
      <c r="G21" t="s">
        <v>14</v>
      </c>
      <c r="H21" t="s">
        <v>33</v>
      </c>
    </row>
    <row r="22" spans="1:8" x14ac:dyDescent="0.3">
      <c r="A22" t="s">
        <v>81</v>
      </c>
      <c r="B22" t="s">
        <v>82</v>
      </c>
      <c r="C22" t="s">
        <v>73</v>
      </c>
      <c r="D22" t="s">
        <v>29</v>
      </c>
      <c r="E22" t="s">
        <v>12</v>
      </c>
      <c r="F22" t="s">
        <v>19</v>
      </c>
      <c r="G22" t="s">
        <v>25</v>
      </c>
      <c r="H22" t="s">
        <v>83</v>
      </c>
    </row>
    <row r="23" spans="1:8" x14ac:dyDescent="0.3">
      <c r="A23" t="s">
        <v>84</v>
      </c>
      <c r="B23" t="s">
        <v>85</v>
      </c>
      <c r="C23" t="s">
        <v>86</v>
      </c>
      <c r="D23" t="s">
        <v>23</v>
      </c>
      <c r="E23" t="s">
        <v>87</v>
      </c>
      <c r="F23" t="s">
        <v>88</v>
      </c>
      <c r="G23" t="s">
        <v>14</v>
      </c>
      <c r="H23" t="s">
        <v>26</v>
      </c>
    </row>
    <row r="24" spans="1:8" x14ac:dyDescent="0.3">
      <c r="A24" t="s">
        <v>89</v>
      </c>
      <c r="B24" t="s">
        <v>90</v>
      </c>
      <c r="C24" t="s">
        <v>86</v>
      </c>
      <c r="D24" t="s">
        <v>18</v>
      </c>
      <c r="E24" t="s">
        <v>12</v>
      </c>
      <c r="F24" t="s">
        <v>88</v>
      </c>
      <c r="G24" t="s">
        <v>14</v>
      </c>
      <c r="H24" t="s">
        <v>70</v>
      </c>
    </row>
    <row r="25" spans="1:8" x14ac:dyDescent="0.3">
      <c r="A25" t="s">
        <v>91</v>
      </c>
      <c r="B25" t="s">
        <v>92</v>
      </c>
      <c r="C25" t="s">
        <v>86</v>
      </c>
      <c r="D25" t="s">
        <v>18</v>
      </c>
      <c r="E25" t="s">
        <v>43</v>
      </c>
      <c r="F25" t="s">
        <v>93</v>
      </c>
      <c r="G25" t="s">
        <v>25</v>
      </c>
      <c r="H25" t="s">
        <v>94</v>
      </c>
    </row>
    <row r="26" spans="1:8" x14ac:dyDescent="0.3">
      <c r="A26" t="s">
        <v>95</v>
      </c>
      <c r="B26" t="s">
        <v>96</v>
      </c>
      <c r="C26" t="s">
        <v>86</v>
      </c>
      <c r="D26" t="s">
        <v>11</v>
      </c>
      <c r="E26" t="s">
        <v>12</v>
      </c>
      <c r="F26" t="s">
        <v>97</v>
      </c>
      <c r="G26" t="s">
        <v>25</v>
      </c>
      <c r="H26" t="s">
        <v>70</v>
      </c>
    </row>
    <row r="27" spans="1:8" x14ac:dyDescent="0.3">
      <c r="A27" t="s">
        <v>98</v>
      </c>
      <c r="B27" t="s">
        <v>99</v>
      </c>
      <c r="C27" t="s">
        <v>100</v>
      </c>
      <c r="D27" t="s">
        <v>29</v>
      </c>
      <c r="E27" t="s">
        <v>87</v>
      </c>
      <c r="F27" t="s">
        <v>19</v>
      </c>
      <c r="G27" t="s">
        <v>14</v>
      </c>
      <c r="H27" t="s">
        <v>70</v>
      </c>
    </row>
    <row r="28" spans="1:8" x14ac:dyDescent="0.3">
      <c r="A28" t="s">
        <v>101</v>
      </c>
      <c r="B28" t="s">
        <v>102</v>
      </c>
      <c r="C28" t="s">
        <v>100</v>
      </c>
      <c r="D28" t="s">
        <v>18</v>
      </c>
      <c r="E28" t="s">
        <v>12</v>
      </c>
      <c r="F28" t="s">
        <v>103</v>
      </c>
      <c r="G28" t="s">
        <v>25</v>
      </c>
      <c r="H28" t="s">
        <v>104</v>
      </c>
    </row>
    <row r="29" spans="1:8" x14ac:dyDescent="0.3">
      <c r="A29" t="s">
        <v>105</v>
      </c>
      <c r="B29" t="s">
        <v>106</v>
      </c>
      <c r="C29" t="s">
        <v>100</v>
      </c>
      <c r="D29" t="s">
        <v>23</v>
      </c>
      <c r="E29" t="s">
        <v>12</v>
      </c>
      <c r="F29" t="s">
        <v>19</v>
      </c>
      <c r="G29" t="s">
        <v>14</v>
      </c>
      <c r="H29" t="s">
        <v>26</v>
      </c>
    </row>
    <row r="30" spans="1:8" x14ac:dyDescent="0.3">
      <c r="A30" t="s">
        <v>107</v>
      </c>
      <c r="B30" t="s">
        <v>108</v>
      </c>
      <c r="C30" t="s">
        <v>100</v>
      </c>
      <c r="D30" t="s">
        <v>18</v>
      </c>
      <c r="E30" t="s">
        <v>109</v>
      </c>
      <c r="F30" t="s">
        <v>110</v>
      </c>
      <c r="G30" t="s">
        <v>14</v>
      </c>
      <c r="H30" t="s">
        <v>20</v>
      </c>
    </row>
    <row r="31" spans="1:8" x14ac:dyDescent="0.3">
      <c r="A31" t="s">
        <v>111</v>
      </c>
      <c r="B31" t="s">
        <v>112</v>
      </c>
      <c r="C31" t="s">
        <v>113</v>
      </c>
      <c r="D31" t="s">
        <v>11</v>
      </c>
      <c r="E31" t="s">
        <v>12</v>
      </c>
      <c r="F31" t="s">
        <v>114</v>
      </c>
      <c r="G31" t="s">
        <v>25</v>
      </c>
      <c r="H31" t="s">
        <v>83</v>
      </c>
    </row>
    <row r="32" spans="1:8" x14ac:dyDescent="0.3">
      <c r="A32" t="s">
        <v>115</v>
      </c>
      <c r="B32" t="s">
        <v>116</v>
      </c>
      <c r="C32" t="s">
        <v>113</v>
      </c>
      <c r="D32" t="s">
        <v>18</v>
      </c>
      <c r="E32" t="s">
        <v>12</v>
      </c>
      <c r="F32" t="s">
        <v>93</v>
      </c>
      <c r="G32" t="s">
        <v>14</v>
      </c>
      <c r="H32" t="s">
        <v>33</v>
      </c>
    </row>
    <row r="33" spans="1:8" x14ac:dyDescent="0.3">
      <c r="A33" t="s">
        <v>117</v>
      </c>
      <c r="B33" t="s">
        <v>118</v>
      </c>
      <c r="C33" t="s">
        <v>113</v>
      </c>
      <c r="D33" t="s">
        <v>23</v>
      </c>
      <c r="E33" t="s">
        <v>109</v>
      </c>
      <c r="F33" t="s">
        <v>13</v>
      </c>
      <c r="G33" t="s">
        <v>14</v>
      </c>
      <c r="H33" t="s">
        <v>15</v>
      </c>
    </row>
    <row r="34" spans="1:8" x14ac:dyDescent="0.3">
      <c r="A34" t="s">
        <v>119</v>
      </c>
      <c r="B34" t="s">
        <v>120</v>
      </c>
      <c r="C34" t="s">
        <v>113</v>
      </c>
      <c r="D34" t="s">
        <v>11</v>
      </c>
      <c r="E34" t="s">
        <v>55</v>
      </c>
      <c r="F34" t="s">
        <v>19</v>
      </c>
      <c r="G34" t="s">
        <v>25</v>
      </c>
      <c r="H34" t="s">
        <v>15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6FD186A2-8528-4AE8-A304-588239F795A1}">
  <ds:schemaRefs/>
</ds:datastoreItem>
</file>

<file path=customXml/itemProps2.xml><?xml version="1.0" encoding="utf-8"?>
<ds:datastoreItem xmlns:ds="http://schemas.openxmlformats.org/officeDocument/2006/customXml" ds:itemID="{7577E147-3C8A-46CF-A0E3-DB1573E080AB}">
  <ds:schemaRefs/>
</ds:datastoreItem>
</file>

<file path=customXml/itemProps3.xml><?xml version="1.0" encoding="utf-8"?>
<ds:datastoreItem xmlns:ds="http://schemas.openxmlformats.org/officeDocument/2006/customXml" ds:itemID="{36A39CBF-B287-444E-A7F4-666B9174545E}">
  <ds:schemaRefs/>
</ds:datastoreItem>
</file>

<file path=customXml/itemProps4.xml><?xml version="1.0" encoding="utf-8"?>
<ds:datastoreItem xmlns:ds="http://schemas.openxmlformats.org/officeDocument/2006/customXml" ds:itemID="{45E81253-A317-4ECD-8515-C001C45B46F4}">
  <ds:schemaRefs/>
</ds:datastoreItem>
</file>

<file path=customXml/itemProps5.xml><?xml version="1.0" encoding="utf-8"?>
<ds:datastoreItem xmlns:ds="http://schemas.openxmlformats.org/officeDocument/2006/customXml" ds:itemID="{13E55B0B-63B3-42CA-8C19-D960D7C39B4B}">
  <ds:schemaRefs>
    <ds:schemaRef ds:uri="http://schemas.microsoft.com/DataMashup"/>
  </ds:schemaRefs>
</ds:datastoreItem>
</file>

<file path=customXml/itemProps6.xml><?xml version="1.0" encoding="utf-8"?>
<ds:datastoreItem xmlns:ds="http://schemas.openxmlformats.org/officeDocument/2006/customXml" ds:itemID="{CF666C06-F0ED-4BB3-919D-973299E297D3}">
  <ds:schemaRefs/>
</ds:datastoreItem>
</file>

<file path=customXml/itemProps7.xml><?xml version="1.0" encoding="utf-8"?>
<ds:datastoreItem xmlns:ds="http://schemas.openxmlformats.org/officeDocument/2006/customXml" ds:itemID="{67C5596F-936E-4BFA-97B7-6B035D76533B}">
  <ds:schemaRefs/>
</ds:datastoreItem>
</file>

<file path=customXml/itemProps8.xml><?xml version="1.0" encoding="utf-8"?>
<ds:datastoreItem xmlns:ds="http://schemas.openxmlformats.org/officeDocument/2006/customXml" ds:itemID="{80F1403F-DCE6-4288-B65D-2BF3C7D0AF9D}">
  <ds:schemaRefs/>
</ds:datastoreItem>
</file>

<file path=customXml/itemProps9.xml><?xml version="1.0" encoding="utf-8"?>
<ds:datastoreItem xmlns:ds="http://schemas.openxmlformats.org/officeDocument/2006/customXml" ds:itemID="{7F179ADC-FA93-47F6-A768-58BD667E1418}">
  <ds:schemaRefs/>
</ds:datastoreItem>
</file>

<file path=customXml/itemProps10.xml><?xml version="1.0" encoding="utf-8"?>
<ds:datastoreItem xmlns:ds="http://schemas.openxmlformats.org/officeDocument/2006/customXml" ds:itemID="{795D01E8-A3F4-418C-9B2A-6C320CF31FCC}">
  <ds:schemaRefs/>
</ds:datastoreItem>
</file>

<file path=customXml/itemProps11.xml><?xml version="1.0" encoding="utf-8"?>
<ds:datastoreItem xmlns:ds="http://schemas.openxmlformats.org/officeDocument/2006/customXml" ds:itemID="{B96E11BD-FAC6-42A3-8D7B-E47CAE50D1BD}">
  <ds:schemaRefs/>
</ds:datastoreItem>
</file>

<file path=customXml/itemProps12.xml><?xml version="1.0" encoding="utf-8"?>
<ds:datastoreItem xmlns:ds="http://schemas.openxmlformats.org/officeDocument/2006/customXml" ds:itemID="{BB43ADAC-C934-42FD-BC5E-93DE648C3C8B}">
  <ds:schemaRefs/>
</ds:datastoreItem>
</file>

<file path=customXml/itemProps13.xml><?xml version="1.0" encoding="utf-8"?>
<ds:datastoreItem xmlns:ds="http://schemas.openxmlformats.org/officeDocument/2006/customXml" ds:itemID="{D0C18094-CD80-4908-ACDA-AE10D66AEDF4}">
  <ds:schemaRefs/>
</ds:datastoreItem>
</file>

<file path=customXml/itemProps14.xml><?xml version="1.0" encoding="utf-8"?>
<ds:datastoreItem xmlns:ds="http://schemas.openxmlformats.org/officeDocument/2006/customXml" ds:itemID="{3FA3C577-A414-483D-B532-E2C911CBA08D}">
  <ds:schemaRefs/>
</ds:datastoreItem>
</file>

<file path=customXml/itemProps15.xml><?xml version="1.0" encoding="utf-8"?>
<ds:datastoreItem xmlns:ds="http://schemas.openxmlformats.org/officeDocument/2006/customXml" ds:itemID="{CCC550F5-BB91-4EA8-B4F6-798095A89125}">
  <ds:schemaRefs/>
</ds:datastoreItem>
</file>

<file path=customXml/itemProps16.xml><?xml version="1.0" encoding="utf-8"?>
<ds:datastoreItem xmlns:ds="http://schemas.openxmlformats.org/officeDocument/2006/customXml" ds:itemID="{E9D606EF-1D75-4CF6-B01C-C091185D72FB}">
  <ds:schemaRefs/>
</ds:datastoreItem>
</file>

<file path=customXml/itemProps17.xml><?xml version="1.0" encoding="utf-8"?>
<ds:datastoreItem xmlns:ds="http://schemas.openxmlformats.org/officeDocument/2006/customXml" ds:itemID="{D56DAC97-1961-4DAD-B1BA-7D8BF21D04A8}">
  <ds:schemaRefs/>
</ds:datastoreItem>
</file>

<file path=customXml/itemProps18.xml><?xml version="1.0" encoding="utf-8"?>
<ds:datastoreItem xmlns:ds="http://schemas.openxmlformats.org/officeDocument/2006/customXml" ds:itemID="{506473C0-071A-446D-A7F5-762485A16407}">
  <ds:schemaRefs/>
</ds:datastoreItem>
</file>

<file path=customXml/itemProps19.xml><?xml version="1.0" encoding="utf-8"?>
<ds:datastoreItem xmlns:ds="http://schemas.openxmlformats.org/officeDocument/2006/customXml" ds:itemID="{D2149D6F-8D10-4283-A581-8E620D11761E}">
  <ds:schemaRefs/>
</ds:datastoreItem>
</file>

<file path=customXml/itemProps20.xml><?xml version="1.0" encoding="utf-8"?>
<ds:datastoreItem xmlns:ds="http://schemas.openxmlformats.org/officeDocument/2006/customXml" ds:itemID="{3637B0D5-DA35-4F4A-AB9B-36ADCC3AAB81}">
  <ds:schemaRefs/>
</ds:datastoreItem>
</file>

<file path=customXml/itemProps21.xml><?xml version="1.0" encoding="utf-8"?>
<ds:datastoreItem xmlns:ds="http://schemas.openxmlformats.org/officeDocument/2006/customXml" ds:itemID="{1FB3B524-C165-4949-A1D2-1E533D483105}">
  <ds:schemaRefs/>
</ds:datastoreItem>
</file>

<file path=customXml/itemProps22.xml><?xml version="1.0" encoding="utf-8"?>
<ds:datastoreItem xmlns:ds="http://schemas.openxmlformats.org/officeDocument/2006/customXml" ds:itemID="{662CB18C-DB27-4F98-AF8C-60F65DA281AB}">
  <ds:schemaRefs/>
</ds:datastoreItem>
</file>

<file path=customXml/itemProps23.xml><?xml version="1.0" encoding="utf-8"?>
<ds:datastoreItem xmlns:ds="http://schemas.openxmlformats.org/officeDocument/2006/customXml" ds:itemID="{C10AF2FD-ED3D-412C-8E6D-A239AB81CD23}">
  <ds:schemaRefs/>
</ds:datastoreItem>
</file>

<file path=customXml/itemProps24.xml><?xml version="1.0" encoding="utf-8"?>
<ds:datastoreItem xmlns:ds="http://schemas.openxmlformats.org/officeDocument/2006/customXml" ds:itemID="{24EB412A-BE14-4863-9A53-95928262B0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fact_player</vt:lpstr>
      <vt:lpstr>Team Summary</vt:lpstr>
      <vt:lpstr>Team Performance Dashboard</vt:lpstr>
      <vt:lpstr>Player Performance Dashboard</vt:lpstr>
      <vt:lpstr>Player Summary</vt:lpstr>
      <vt:lpstr>fact_match</vt:lpstr>
      <vt:lpstr>dim_venue</vt:lpstr>
      <vt:lpstr>dim_team</vt:lpstr>
      <vt:lpstr>dim_player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PRANJAL CHAUHAN</dc:creator>
  <cp:lastModifiedBy>PRANJAL CHAUHAN</cp:lastModifiedBy>
  <dcterms:created xsi:type="dcterms:W3CDTF">2026-10-02T12:03:44Z</dcterms:created>
  <dcterms:modified xsi:type="dcterms:W3CDTF">2026-10-21T03:51:08Z</dcterms:modified>
</cp:coreProperties>
</file>